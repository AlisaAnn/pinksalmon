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sk\Documents\pinksalmon_analysis\"/>
    </mc:Choice>
  </mc:AlternateContent>
  <xr:revisionPtr revIDLastSave="0" documentId="13_ncr:1_{FD7F292B-101A-4CCD-9F79-27BE3ACD1D84}" xr6:coauthVersionLast="47" xr6:coauthVersionMax="47" xr10:uidLastSave="{00000000-0000-0000-0000-000000000000}"/>
  <bookViews>
    <workbookView xWindow="-120" yWindow="-120" windowWidth="19440" windowHeight="11040" activeTab="1" xr2:uid="{857518BB-7DD4-4BB4-8330-0B44FDCC9191}"/>
  </bookViews>
  <sheets>
    <sheet name="allsite2022" sheetId="3" r:id="rId1"/>
    <sheet name="Kalin raw data" sheetId="2" r:id="rId2"/>
    <sheet name="R data bar example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C7" i="1"/>
</calcChain>
</file>

<file path=xl/sharedStrings.xml><?xml version="1.0" encoding="utf-8"?>
<sst xmlns="http://schemas.openxmlformats.org/spreadsheetml/2006/main" count="1048" uniqueCount="160">
  <si>
    <t>year</t>
  </si>
  <si>
    <t>Hatchery Site</t>
  </si>
  <si>
    <t>ALB (n = 78)</t>
  </si>
  <si>
    <t>Cook Bay (n = 8))</t>
  </si>
  <si>
    <t>Chief Cove (n=5)</t>
  </si>
  <si>
    <t>Kiliuda Bay (n=3)</t>
  </si>
  <si>
    <t>Rodmans Reach (n=3)</t>
  </si>
  <si>
    <t>Agripina (n=166)</t>
  </si>
  <si>
    <t>Point Wrangell (n=10)</t>
  </si>
  <si>
    <t>Mitrofania (n=20)</t>
  </si>
  <si>
    <t>Fox Bay (n=110)</t>
  </si>
  <si>
    <t>Balboa (n=3)</t>
  </si>
  <si>
    <t>Baralof Bay (n=8)</t>
  </si>
  <si>
    <t>ALB (n = 197)</t>
  </si>
  <si>
    <t>Cook Bay (n = 21))</t>
  </si>
  <si>
    <t>Kiliuda Bay (n=299)</t>
  </si>
  <si>
    <t>Rodmans Reach (n=172)</t>
  </si>
  <si>
    <t>Point Wrangell (n=1)</t>
  </si>
  <si>
    <t>Mitrofania (n=5)</t>
  </si>
  <si>
    <t>Fox Bay (n=1)</t>
  </si>
  <si>
    <t>Balboa (n=4)</t>
  </si>
  <si>
    <t>Baralof Bay (n=1)</t>
  </si>
  <si>
    <t>Falmouth (n=3)</t>
  </si>
  <si>
    <t>Hatchery unID</t>
  </si>
  <si>
    <t xml:space="preserve">AFK </t>
  </si>
  <si>
    <t>CCH</t>
  </si>
  <si>
    <t>SGH</t>
  </si>
  <si>
    <t>KBH</t>
  </si>
  <si>
    <t>wild</t>
  </si>
  <si>
    <t>PGH</t>
  </si>
  <si>
    <t>ALB</t>
  </si>
  <si>
    <t>Cook</t>
  </si>
  <si>
    <t>Chief Cove</t>
  </si>
  <si>
    <t>Kiliuda</t>
  </si>
  <si>
    <t>Rodmans Reach</t>
  </si>
  <si>
    <t xml:space="preserve">Agripina </t>
  </si>
  <si>
    <t>Pt Wrangell</t>
  </si>
  <si>
    <t>Mitrofania</t>
  </si>
  <si>
    <t>Fox</t>
  </si>
  <si>
    <t>Balboa</t>
  </si>
  <si>
    <t>Baralof</t>
  </si>
  <si>
    <t>Japanese</t>
  </si>
  <si>
    <t>Kaiugnak</t>
  </si>
  <si>
    <t>Sand Point</t>
  </si>
  <si>
    <t>Falmouth</t>
  </si>
  <si>
    <t>na</t>
  </si>
  <si>
    <t>Hatch_unID</t>
  </si>
  <si>
    <t>Bay</t>
  </si>
  <si>
    <t>lat</t>
  </si>
  <si>
    <t>long</t>
  </si>
  <si>
    <t>Date</t>
  </si>
  <si>
    <t>Station</t>
  </si>
  <si>
    <t>Site</t>
  </si>
  <si>
    <t>subsample</t>
  </si>
  <si>
    <t>Time</t>
  </si>
  <si>
    <t>Temp.C</t>
  </si>
  <si>
    <t>Salinity</t>
  </si>
  <si>
    <t>lat.deg</t>
  </si>
  <si>
    <t>lat.min</t>
  </si>
  <si>
    <t>long.deg</t>
  </si>
  <si>
    <t>long.min</t>
  </si>
  <si>
    <t>use.for.CPUE</t>
  </si>
  <si>
    <t>notes</t>
  </si>
  <si>
    <t>Cobble</t>
  </si>
  <si>
    <t>Gravel</t>
  </si>
  <si>
    <t>Fucus</t>
  </si>
  <si>
    <t>Laminaria</t>
  </si>
  <si>
    <t>Eelgrass</t>
  </si>
  <si>
    <t>LT.time</t>
  </si>
  <si>
    <t>RR-4</t>
  </si>
  <si>
    <t>Rodman Reach</t>
  </si>
  <si>
    <t>no</t>
  </si>
  <si>
    <t>yes</t>
  </si>
  <si>
    <t>.</t>
  </si>
  <si>
    <t>n</t>
  </si>
  <si>
    <t>y</t>
  </si>
  <si>
    <t>RR-3</t>
  </si>
  <si>
    <t>RR-1</t>
  </si>
  <si>
    <t>mud</t>
  </si>
  <si>
    <t>RR-birch</t>
  </si>
  <si>
    <t>RR-2</t>
  </si>
  <si>
    <t>Laminaria South</t>
  </si>
  <si>
    <t>Eelgrass South</t>
  </si>
  <si>
    <t>Laminaria East</t>
  </si>
  <si>
    <t>Eelgrass West</t>
  </si>
  <si>
    <t>Laminaria North</t>
  </si>
  <si>
    <t>Eelgrass North</t>
  </si>
  <si>
    <t>CH-1</t>
  </si>
  <si>
    <t>herring eggs on beach</t>
  </si>
  <si>
    <t>CH-2</t>
  </si>
  <si>
    <t>CH-3</t>
  </si>
  <si>
    <t>CH-4</t>
  </si>
  <si>
    <t>CH-5</t>
  </si>
  <si>
    <t>Kilu-6</t>
  </si>
  <si>
    <t>Kilu-5</t>
  </si>
  <si>
    <t>Kilu-4</t>
  </si>
  <si>
    <t>Kilu-3</t>
  </si>
  <si>
    <t>Kilu-7</t>
  </si>
  <si>
    <t>Kilu-2</t>
  </si>
  <si>
    <t>Kilu-1</t>
  </si>
  <si>
    <t>hung on boulder</t>
  </si>
  <si>
    <t>walk net because so shallow</t>
  </si>
  <si>
    <t>Dan Earle's site</t>
  </si>
  <si>
    <t>AG-1</t>
  </si>
  <si>
    <t>Agripina</t>
  </si>
  <si>
    <t>AG-2</t>
  </si>
  <si>
    <t>AG-4</t>
  </si>
  <si>
    <t>AG-3</t>
  </si>
  <si>
    <t>AG-5</t>
  </si>
  <si>
    <t>AG-6</t>
  </si>
  <si>
    <t>PW-1</t>
  </si>
  <si>
    <t>PW-2</t>
  </si>
  <si>
    <t>PW-3</t>
  </si>
  <si>
    <t>PW-4</t>
  </si>
  <si>
    <t>Mit-1</t>
  </si>
  <si>
    <t>mesa acting up</t>
  </si>
  <si>
    <t>Mit-2</t>
  </si>
  <si>
    <t>Mit-3</t>
  </si>
  <si>
    <t>Mit-4</t>
  </si>
  <si>
    <t>Mit-5</t>
  </si>
  <si>
    <t>not sure about longitude</t>
  </si>
  <si>
    <t>Mit-6</t>
  </si>
  <si>
    <t>Fox-1</t>
  </si>
  <si>
    <t>Fox-2</t>
  </si>
  <si>
    <t>Fox-3</t>
  </si>
  <si>
    <t>Fox-4</t>
  </si>
  <si>
    <t>Fox-5</t>
  </si>
  <si>
    <t>BB-2</t>
  </si>
  <si>
    <t>lots shrimp and crab</t>
  </si>
  <si>
    <t>BB-3</t>
  </si>
  <si>
    <t>BB-4</t>
  </si>
  <si>
    <t>BB-7</t>
  </si>
  <si>
    <t>Fal-5</t>
  </si>
  <si>
    <t>Fal-1</t>
  </si>
  <si>
    <t>Fal-2</t>
  </si>
  <si>
    <t>Fal-3</t>
  </si>
  <si>
    <t>Fal-4</t>
  </si>
  <si>
    <t>slippery. Ulva</t>
  </si>
  <si>
    <t>Bar-5</t>
  </si>
  <si>
    <t>Bar-4</t>
  </si>
  <si>
    <t>Bar-3</t>
  </si>
  <si>
    <t>Bar-2</t>
  </si>
  <si>
    <t>Bar-1</t>
  </si>
  <si>
    <t>Sand-2</t>
  </si>
  <si>
    <t>Sand-3</t>
  </si>
  <si>
    <t>Jap-1</t>
  </si>
  <si>
    <t>rolled net</t>
  </si>
  <si>
    <t>Jap-6</t>
  </si>
  <si>
    <t>Jap-2</t>
  </si>
  <si>
    <t>Jap-7</t>
  </si>
  <si>
    <t>Jap-3</t>
  </si>
  <si>
    <t>Jap-5</t>
  </si>
  <si>
    <t>Jap-4</t>
  </si>
  <si>
    <t>lots of matted algae</t>
  </si>
  <si>
    <t>Kai-3</t>
  </si>
  <si>
    <t>Kai-6</t>
  </si>
  <si>
    <t>Kai-7</t>
  </si>
  <si>
    <t>Kai-4</t>
  </si>
  <si>
    <t>Kai-1</t>
  </si>
  <si>
    <t>Kai-2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</si>
</sst>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2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 data bar example'!$B$3</c:f>
              <c:strCache>
                <c:ptCount val="1"/>
                <c:pt idx="0">
                  <c:v>AFK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 data bar example'!$C$1:$M$1</c:f>
              <c:strCache>
                <c:ptCount val="11"/>
                <c:pt idx="0">
                  <c:v>ALB (n = 78)</c:v>
                </c:pt>
                <c:pt idx="1">
                  <c:v>Cook Bay (n = 8))</c:v>
                </c:pt>
                <c:pt idx="2">
                  <c:v>Chief Cove (n=5)</c:v>
                </c:pt>
                <c:pt idx="3">
                  <c:v>Kiliuda Bay (n=3)</c:v>
                </c:pt>
                <c:pt idx="4">
                  <c:v>Rodmans Reach (n=3)</c:v>
                </c:pt>
                <c:pt idx="5">
                  <c:v>Agripina (n=166)</c:v>
                </c:pt>
                <c:pt idx="6">
                  <c:v>Point Wrangell (n=10)</c:v>
                </c:pt>
                <c:pt idx="7">
                  <c:v>Mitrofania (n=20)</c:v>
                </c:pt>
                <c:pt idx="8">
                  <c:v>Fox Bay (n=110)</c:v>
                </c:pt>
                <c:pt idx="9">
                  <c:v>Balboa (n=3)</c:v>
                </c:pt>
                <c:pt idx="10">
                  <c:v>Baralof Bay (n=8)</c:v>
                </c:pt>
              </c:strCache>
            </c:strRef>
          </c:cat>
          <c:val>
            <c:numRef>
              <c:f>'R data bar example'!$C$3:$M$3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28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0-4100-B20D-F0FF498E2F32}"/>
            </c:ext>
          </c:extLst>
        </c:ser>
        <c:ser>
          <c:idx val="1"/>
          <c:order val="1"/>
          <c:tx>
            <c:strRef>
              <c:f>'R data bar example'!$B$4</c:f>
              <c:strCache>
                <c:ptCount val="1"/>
                <c:pt idx="0">
                  <c:v>CCH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 data bar example'!$C$1:$M$1</c:f>
              <c:strCache>
                <c:ptCount val="11"/>
                <c:pt idx="0">
                  <c:v>ALB (n = 78)</c:v>
                </c:pt>
                <c:pt idx="1">
                  <c:v>Cook Bay (n = 8))</c:v>
                </c:pt>
                <c:pt idx="2">
                  <c:v>Chief Cove (n=5)</c:v>
                </c:pt>
                <c:pt idx="3">
                  <c:v>Kiliuda Bay (n=3)</c:v>
                </c:pt>
                <c:pt idx="4">
                  <c:v>Rodmans Reach (n=3)</c:v>
                </c:pt>
                <c:pt idx="5">
                  <c:v>Agripina (n=166)</c:v>
                </c:pt>
                <c:pt idx="6">
                  <c:v>Point Wrangell (n=10)</c:v>
                </c:pt>
                <c:pt idx="7">
                  <c:v>Mitrofania (n=20)</c:v>
                </c:pt>
                <c:pt idx="8">
                  <c:v>Fox Bay (n=110)</c:v>
                </c:pt>
                <c:pt idx="9">
                  <c:v>Balboa (n=3)</c:v>
                </c:pt>
                <c:pt idx="10">
                  <c:v>Baralof Bay (n=8)</c:v>
                </c:pt>
              </c:strCache>
            </c:strRef>
          </c:cat>
          <c:val>
            <c:numRef>
              <c:f>'R data bar example'!$C$4:$M$4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0-4100-B20D-F0FF498E2F32}"/>
            </c:ext>
          </c:extLst>
        </c:ser>
        <c:ser>
          <c:idx val="2"/>
          <c:order val="2"/>
          <c:tx>
            <c:strRef>
              <c:f>'R data bar example'!$B$5</c:f>
              <c:strCache>
                <c:ptCount val="1"/>
                <c:pt idx="0">
                  <c:v>SGH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 data bar example'!$C$1:$M$1</c:f>
              <c:strCache>
                <c:ptCount val="11"/>
                <c:pt idx="0">
                  <c:v>ALB (n = 78)</c:v>
                </c:pt>
                <c:pt idx="1">
                  <c:v>Cook Bay (n = 8))</c:v>
                </c:pt>
                <c:pt idx="2">
                  <c:v>Chief Cove (n=5)</c:v>
                </c:pt>
                <c:pt idx="3">
                  <c:v>Kiliuda Bay (n=3)</c:v>
                </c:pt>
                <c:pt idx="4">
                  <c:v>Rodmans Reach (n=3)</c:v>
                </c:pt>
                <c:pt idx="5">
                  <c:v>Agripina (n=166)</c:v>
                </c:pt>
                <c:pt idx="6">
                  <c:v>Point Wrangell (n=10)</c:v>
                </c:pt>
                <c:pt idx="7">
                  <c:v>Mitrofania (n=20)</c:v>
                </c:pt>
                <c:pt idx="8">
                  <c:v>Fox Bay (n=110)</c:v>
                </c:pt>
                <c:pt idx="9">
                  <c:v>Balboa (n=3)</c:v>
                </c:pt>
                <c:pt idx="10">
                  <c:v>Baralof Bay (n=8)</c:v>
                </c:pt>
              </c:strCache>
            </c:strRef>
          </c:cat>
          <c:val>
            <c:numRef>
              <c:f>'R data bar example'!$C$5:$M$5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</c:v>
                </c:pt>
                <c:pt idx="6">
                  <c:v>0</c:v>
                </c:pt>
                <c:pt idx="7">
                  <c:v>2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0-4100-B20D-F0FF498E2F32}"/>
            </c:ext>
          </c:extLst>
        </c:ser>
        <c:ser>
          <c:idx val="3"/>
          <c:order val="3"/>
          <c:tx>
            <c:strRef>
              <c:f>'R data bar example'!$B$6</c:f>
              <c:strCache>
                <c:ptCount val="1"/>
                <c:pt idx="0">
                  <c:v>KBH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 data bar example'!$C$1:$M$1</c:f>
              <c:strCache>
                <c:ptCount val="11"/>
                <c:pt idx="0">
                  <c:v>ALB (n = 78)</c:v>
                </c:pt>
                <c:pt idx="1">
                  <c:v>Cook Bay (n = 8))</c:v>
                </c:pt>
                <c:pt idx="2">
                  <c:v>Chief Cove (n=5)</c:v>
                </c:pt>
                <c:pt idx="3">
                  <c:v>Kiliuda Bay (n=3)</c:v>
                </c:pt>
                <c:pt idx="4">
                  <c:v>Rodmans Reach (n=3)</c:v>
                </c:pt>
                <c:pt idx="5">
                  <c:v>Agripina (n=166)</c:v>
                </c:pt>
                <c:pt idx="6">
                  <c:v>Point Wrangell (n=10)</c:v>
                </c:pt>
                <c:pt idx="7">
                  <c:v>Mitrofania (n=20)</c:v>
                </c:pt>
                <c:pt idx="8">
                  <c:v>Fox Bay (n=110)</c:v>
                </c:pt>
                <c:pt idx="9">
                  <c:v>Balboa (n=3)</c:v>
                </c:pt>
                <c:pt idx="10">
                  <c:v>Baralof Bay (n=8)</c:v>
                </c:pt>
              </c:strCache>
            </c:strRef>
          </c:cat>
          <c:val>
            <c:numRef>
              <c:f>'R data bar example'!$C$6:$M$6</c:f>
              <c:numCache>
                <c:formatCode>General</c:formatCode>
                <c:ptCount val="11"/>
                <c:pt idx="0">
                  <c:v>29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21</c:v>
                </c:pt>
                <c:pt idx="6">
                  <c:v>0</c:v>
                </c:pt>
                <c:pt idx="7">
                  <c:v>4</c:v>
                </c:pt>
                <c:pt idx="8">
                  <c:v>15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0-4100-B20D-F0FF498E2F32}"/>
            </c:ext>
          </c:extLst>
        </c:ser>
        <c:ser>
          <c:idx val="4"/>
          <c:order val="4"/>
          <c:tx>
            <c:strRef>
              <c:f>'R data bar example'!$B$7</c:f>
              <c:strCache>
                <c:ptCount val="1"/>
                <c:pt idx="0">
                  <c:v>wild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 data bar example'!$C$1:$M$1</c:f>
              <c:strCache>
                <c:ptCount val="11"/>
                <c:pt idx="0">
                  <c:v>ALB (n = 78)</c:v>
                </c:pt>
                <c:pt idx="1">
                  <c:v>Cook Bay (n = 8))</c:v>
                </c:pt>
                <c:pt idx="2">
                  <c:v>Chief Cove (n=5)</c:v>
                </c:pt>
                <c:pt idx="3">
                  <c:v>Kiliuda Bay (n=3)</c:v>
                </c:pt>
                <c:pt idx="4">
                  <c:v>Rodmans Reach (n=3)</c:v>
                </c:pt>
                <c:pt idx="5">
                  <c:v>Agripina (n=166)</c:v>
                </c:pt>
                <c:pt idx="6">
                  <c:v>Point Wrangell (n=10)</c:v>
                </c:pt>
                <c:pt idx="7">
                  <c:v>Mitrofania (n=20)</c:v>
                </c:pt>
                <c:pt idx="8">
                  <c:v>Fox Bay (n=110)</c:v>
                </c:pt>
                <c:pt idx="9">
                  <c:v>Balboa (n=3)</c:v>
                </c:pt>
                <c:pt idx="10">
                  <c:v>Baralof Bay (n=8)</c:v>
                </c:pt>
              </c:strCache>
            </c:strRef>
          </c:cat>
          <c:val>
            <c:numRef>
              <c:f>'R data bar example'!$C$7:$M$7</c:f>
              <c:numCache>
                <c:formatCode>General</c:formatCode>
                <c:ptCount val="11"/>
                <c:pt idx="0">
                  <c:v>49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96</c:v>
                </c:pt>
                <c:pt idx="6">
                  <c:v>8</c:v>
                </c:pt>
                <c:pt idx="7">
                  <c:v>12</c:v>
                </c:pt>
                <c:pt idx="8">
                  <c:v>70</c:v>
                </c:pt>
                <c:pt idx="9">
                  <c:v>3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D0-4100-B20D-F0FF498E2F32}"/>
            </c:ext>
          </c:extLst>
        </c:ser>
        <c:ser>
          <c:idx val="5"/>
          <c:order val="5"/>
          <c:tx>
            <c:strRef>
              <c:f>'R data bar example'!$B$2</c:f>
              <c:strCache>
                <c:ptCount val="1"/>
                <c:pt idx="0">
                  <c:v>Hatchery unID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'R data bar example'!$C$1:$M$1</c:f>
              <c:strCache>
                <c:ptCount val="11"/>
                <c:pt idx="0">
                  <c:v>ALB (n = 78)</c:v>
                </c:pt>
                <c:pt idx="1">
                  <c:v>Cook Bay (n = 8))</c:v>
                </c:pt>
                <c:pt idx="2">
                  <c:v>Chief Cove (n=5)</c:v>
                </c:pt>
                <c:pt idx="3">
                  <c:v>Kiliuda Bay (n=3)</c:v>
                </c:pt>
                <c:pt idx="4">
                  <c:v>Rodmans Reach (n=3)</c:v>
                </c:pt>
                <c:pt idx="5">
                  <c:v>Agripina (n=166)</c:v>
                </c:pt>
                <c:pt idx="6">
                  <c:v>Point Wrangell (n=10)</c:v>
                </c:pt>
                <c:pt idx="7">
                  <c:v>Mitrofania (n=20)</c:v>
                </c:pt>
                <c:pt idx="8">
                  <c:v>Fox Bay (n=110)</c:v>
                </c:pt>
                <c:pt idx="9">
                  <c:v>Balboa (n=3)</c:v>
                </c:pt>
                <c:pt idx="10">
                  <c:v>Baralof Bay (n=8)</c:v>
                </c:pt>
              </c:strCache>
            </c:strRef>
          </c:cat>
          <c:val>
            <c:numRef>
              <c:f>'R data bar example'!$C$2:$M$2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D0-4100-B20D-F0FF498E2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8274080"/>
        <c:axId val="728272160"/>
      </c:barChart>
      <c:catAx>
        <c:axId val="72827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72160"/>
        <c:crosses val="autoZero"/>
        <c:auto val="1"/>
        <c:lblAlgn val="ctr"/>
        <c:lblOffset val="100"/>
        <c:noMultiLvlLbl val="0"/>
      </c:catAx>
      <c:valAx>
        <c:axId val="7282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7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accent6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 data bar example'!$P$6</c:f>
              <c:strCache>
                <c:ptCount val="1"/>
                <c:pt idx="0">
                  <c:v>KBH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'R data bar example'!$Q$1:$Z$1</c:f>
              <c:strCache>
                <c:ptCount val="10"/>
                <c:pt idx="0">
                  <c:v>ALB (n = 197)</c:v>
                </c:pt>
                <c:pt idx="1">
                  <c:v>Cook Bay (n = 21))</c:v>
                </c:pt>
                <c:pt idx="2">
                  <c:v>Kiliuda Bay (n=299)</c:v>
                </c:pt>
                <c:pt idx="3">
                  <c:v>Rodmans Reach (n=172)</c:v>
                </c:pt>
                <c:pt idx="4">
                  <c:v>Point Wrangell (n=1)</c:v>
                </c:pt>
                <c:pt idx="5">
                  <c:v>Mitrofania (n=5)</c:v>
                </c:pt>
                <c:pt idx="6">
                  <c:v>Fox Bay (n=1)</c:v>
                </c:pt>
                <c:pt idx="7">
                  <c:v>Balboa (n=4)</c:v>
                </c:pt>
                <c:pt idx="8">
                  <c:v>Baralof Bay (n=1)</c:v>
                </c:pt>
                <c:pt idx="9">
                  <c:v>Falmouth (n=3)</c:v>
                </c:pt>
              </c:strCache>
            </c:strRef>
          </c:cat>
          <c:val>
            <c:numRef>
              <c:f>'R data bar example'!$Q$6:$Z$6</c:f>
              <c:numCache>
                <c:formatCode>0</c:formatCode>
                <c:ptCount val="10"/>
                <c:pt idx="0">
                  <c:v>51</c:v>
                </c:pt>
                <c:pt idx="1">
                  <c:v>3</c:v>
                </c:pt>
                <c:pt idx="2">
                  <c:v>0</c:v>
                </c:pt>
                <c:pt idx="3">
                  <c:v>9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5-479E-A76B-4C1266569381}"/>
            </c:ext>
          </c:extLst>
        </c:ser>
        <c:ser>
          <c:idx val="1"/>
          <c:order val="1"/>
          <c:tx>
            <c:strRef>
              <c:f>'R data bar example'!$P$7</c:f>
              <c:strCache>
                <c:ptCount val="1"/>
                <c:pt idx="0">
                  <c:v>wild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 data bar example'!$Q$1:$Z$1</c:f>
              <c:strCache>
                <c:ptCount val="10"/>
                <c:pt idx="0">
                  <c:v>ALB (n = 197)</c:v>
                </c:pt>
                <c:pt idx="1">
                  <c:v>Cook Bay (n = 21))</c:v>
                </c:pt>
                <c:pt idx="2">
                  <c:v>Kiliuda Bay (n=299)</c:v>
                </c:pt>
                <c:pt idx="3">
                  <c:v>Rodmans Reach (n=172)</c:v>
                </c:pt>
                <c:pt idx="4">
                  <c:v>Point Wrangell (n=1)</c:v>
                </c:pt>
                <c:pt idx="5">
                  <c:v>Mitrofania (n=5)</c:v>
                </c:pt>
                <c:pt idx="6">
                  <c:v>Fox Bay (n=1)</c:v>
                </c:pt>
                <c:pt idx="7">
                  <c:v>Balboa (n=4)</c:v>
                </c:pt>
                <c:pt idx="8">
                  <c:v>Baralof Bay (n=1)</c:v>
                </c:pt>
                <c:pt idx="9">
                  <c:v>Falmouth (n=3)</c:v>
                </c:pt>
              </c:strCache>
            </c:strRef>
          </c:cat>
          <c:val>
            <c:numRef>
              <c:f>'R data bar example'!$Q$7:$Z$7</c:f>
              <c:numCache>
                <c:formatCode>0</c:formatCode>
                <c:ptCount val="10"/>
                <c:pt idx="0">
                  <c:v>146</c:v>
                </c:pt>
                <c:pt idx="1">
                  <c:v>18</c:v>
                </c:pt>
                <c:pt idx="2">
                  <c:v>284</c:v>
                </c:pt>
                <c:pt idx="3">
                  <c:v>163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5-479E-A76B-4C1266569381}"/>
            </c:ext>
          </c:extLst>
        </c:ser>
        <c:ser>
          <c:idx val="2"/>
          <c:order val="2"/>
          <c:tx>
            <c:strRef>
              <c:f>'R data bar example'!$P$8</c:f>
              <c:strCache>
                <c:ptCount val="1"/>
                <c:pt idx="0">
                  <c:v>PGH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'R data bar example'!$Q$1:$Z$1</c:f>
              <c:strCache>
                <c:ptCount val="10"/>
                <c:pt idx="0">
                  <c:v>ALB (n = 197)</c:v>
                </c:pt>
                <c:pt idx="1">
                  <c:v>Cook Bay (n = 21))</c:v>
                </c:pt>
                <c:pt idx="2">
                  <c:v>Kiliuda Bay (n=299)</c:v>
                </c:pt>
                <c:pt idx="3">
                  <c:v>Rodmans Reach (n=172)</c:v>
                </c:pt>
                <c:pt idx="4">
                  <c:v>Point Wrangell (n=1)</c:v>
                </c:pt>
                <c:pt idx="5">
                  <c:v>Mitrofania (n=5)</c:v>
                </c:pt>
                <c:pt idx="6">
                  <c:v>Fox Bay (n=1)</c:v>
                </c:pt>
                <c:pt idx="7">
                  <c:v>Balboa (n=4)</c:v>
                </c:pt>
                <c:pt idx="8">
                  <c:v>Baralof Bay (n=1)</c:v>
                </c:pt>
                <c:pt idx="9">
                  <c:v>Falmouth (n=3)</c:v>
                </c:pt>
              </c:strCache>
            </c:strRef>
          </c:cat>
          <c:val>
            <c:numRef>
              <c:f>'R data bar example'!$Q$8:$Z$8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5-479E-A76B-4C1266569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977872"/>
        <c:axId val="773847008"/>
      </c:barChart>
      <c:catAx>
        <c:axId val="62497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47008"/>
        <c:crosses val="autoZero"/>
        <c:auto val="1"/>
        <c:lblAlgn val="ctr"/>
        <c:lblOffset val="100"/>
        <c:noMultiLvlLbl val="0"/>
      </c:catAx>
      <c:valAx>
        <c:axId val="7738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97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105834</xdr:colOff>
      <xdr:row>8</xdr:row>
      <xdr:rowOff>31750</xdr:rowOff>
    </xdr:from>
    <xdr:to>
      <xdr:col>11</xdr:col>
      <xdr:colOff>137583</xdr:colOff>
      <xdr:row>28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C78F4-2C79-46C4-836E-1D41AEA7F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137584</xdr:colOff>
      <xdr:row>9</xdr:row>
      <xdr:rowOff>20108</xdr:rowOff>
    </xdr:from>
    <xdr:to>
      <xdr:col>21</xdr:col>
      <xdr:colOff>42334</xdr:colOff>
      <xdr:row>29</xdr:row>
      <xdr:rowOff>87842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8AF48F-18EB-4991-A9ED-27F0296CD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sk\Documents\pinksalmon_analysis\41_capture_hatchery_pinks.xlsx" TargetMode="External"/><Relationship Id="rId1" Type="http://schemas.openxmlformats.org/officeDocument/2006/relationships/externalLinkPath" Target="41_capture_hatchery_pi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tch_dist_fulton"/>
      <sheetName val="capture match to model"/>
      <sheetName val="ratio in all bays"/>
      <sheetName val="ratio in all bays (2)"/>
      <sheetName val="poster fig data HW"/>
      <sheetName val="poster fig HW"/>
      <sheetName val="R data 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C1" t="str">
            <v>ALB (n = 78)</v>
          </cell>
          <cell r="D1" t="str">
            <v>Cook Bay (n = 8))</v>
          </cell>
          <cell r="E1" t="str">
            <v>Chief Cove (n=5)</v>
          </cell>
          <cell r="F1" t="str">
            <v>Kiliuda Bay (n=3)</v>
          </cell>
          <cell r="G1" t="str">
            <v>Rodmans Reach (n=3)</v>
          </cell>
          <cell r="H1" t="str">
            <v>Agripina (n=166)</v>
          </cell>
          <cell r="I1" t="str">
            <v>Point Wrangell (n=10)</v>
          </cell>
          <cell r="J1" t="str">
            <v>Mitrofania (n=20)</v>
          </cell>
          <cell r="K1" t="str">
            <v>Fox Bay (n=110)</v>
          </cell>
          <cell r="L1" t="str">
            <v>Balboa (n=3)</v>
          </cell>
          <cell r="M1" t="str">
            <v>Baralof Bay (n=8)</v>
          </cell>
          <cell r="Q1" t="str">
            <v>ALB (n = 197)</v>
          </cell>
          <cell r="R1" t="str">
            <v>Cook Bay (n = 21))</v>
          </cell>
          <cell r="S1" t="str">
            <v>Kiliuda Bay (n=299)</v>
          </cell>
          <cell r="T1" t="str">
            <v>Rodmans Reach (n=172)</v>
          </cell>
          <cell r="U1" t="str">
            <v>Point Wrangell (n=1)</v>
          </cell>
          <cell r="V1" t="str">
            <v>Mitrofania (n=5)</v>
          </cell>
          <cell r="W1" t="str">
            <v>Fox Bay (n=1)</v>
          </cell>
          <cell r="X1" t="str">
            <v>Balboa (n=4)</v>
          </cell>
          <cell r="Y1" t="str">
            <v>Baralof Bay (n=1)</v>
          </cell>
          <cell r="Z1" t="str">
            <v>Falmouth (n=3)</v>
          </cell>
        </row>
        <row r="2">
          <cell r="B2" t="str">
            <v>Hatchery unID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2</v>
          </cell>
          <cell r="J2">
            <v>2</v>
          </cell>
          <cell r="K2">
            <v>0</v>
          </cell>
          <cell r="L2">
            <v>0</v>
          </cell>
          <cell r="M2">
            <v>1</v>
          </cell>
        </row>
        <row r="3">
          <cell r="B3" t="str">
            <v xml:space="preserve">AFK </v>
          </cell>
          <cell r="C3">
            <v>0</v>
          </cell>
          <cell r="D3">
            <v>0</v>
          </cell>
          <cell r="E3">
            <v>1</v>
          </cell>
          <cell r="F3">
            <v>2</v>
          </cell>
          <cell r="G3">
            <v>0</v>
          </cell>
          <cell r="H3">
            <v>28</v>
          </cell>
          <cell r="I3">
            <v>0</v>
          </cell>
          <cell r="J3">
            <v>0</v>
          </cell>
          <cell r="K3">
            <v>15</v>
          </cell>
          <cell r="L3">
            <v>0</v>
          </cell>
          <cell r="M3">
            <v>0</v>
          </cell>
        </row>
        <row r="4">
          <cell r="B4" t="str">
            <v>CCH</v>
          </cell>
          <cell r="C4">
            <v>0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7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</v>
          </cell>
        </row>
        <row r="5">
          <cell r="B5" t="str">
            <v>SGH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14</v>
          </cell>
          <cell r="I5">
            <v>0</v>
          </cell>
          <cell r="J5">
            <v>2</v>
          </cell>
          <cell r="K5">
            <v>10</v>
          </cell>
          <cell r="L5">
            <v>0</v>
          </cell>
          <cell r="M5">
            <v>0</v>
          </cell>
        </row>
        <row r="6">
          <cell r="B6" t="str">
            <v>KBH</v>
          </cell>
          <cell r="C6">
            <v>29</v>
          </cell>
          <cell r="D6">
            <v>2</v>
          </cell>
          <cell r="E6">
            <v>1</v>
          </cell>
          <cell r="F6">
            <v>0</v>
          </cell>
          <cell r="G6">
            <v>1</v>
          </cell>
          <cell r="H6">
            <v>21</v>
          </cell>
          <cell r="I6">
            <v>0</v>
          </cell>
          <cell r="J6">
            <v>4</v>
          </cell>
          <cell r="K6">
            <v>15</v>
          </cell>
          <cell r="L6">
            <v>0</v>
          </cell>
          <cell r="M6">
            <v>1</v>
          </cell>
          <cell r="P6" t="str">
            <v>KBH</v>
          </cell>
          <cell r="Q6">
            <v>51</v>
          </cell>
          <cell r="R6">
            <v>3</v>
          </cell>
          <cell r="S6">
            <v>0</v>
          </cell>
          <cell r="T6">
            <v>9</v>
          </cell>
          <cell r="U6">
            <v>1</v>
          </cell>
          <cell r="V6">
            <v>1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</row>
        <row r="7">
          <cell r="B7" t="str">
            <v>wild</v>
          </cell>
          <cell r="C7">
            <v>49</v>
          </cell>
          <cell r="D7">
            <v>6</v>
          </cell>
          <cell r="E7">
            <v>2</v>
          </cell>
          <cell r="F7">
            <v>1</v>
          </cell>
          <cell r="G7">
            <v>2</v>
          </cell>
          <cell r="H7">
            <v>96</v>
          </cell>
          <cell r="I7">
            <v>8</v>
          </cell>
          <cell r="J7">
            <v>12</v>
          </cell>
          <cell r="K7">
            <v>70</v>
          </cell>
          <cell r="L7">
            <v>3</v>
          </cell>
          <cell r="M7">
            <v>5</v>
          </cell>
          <cell r="P7" t="str">
            <v>wild</v>
          </cell>
          <cell r="Q7">
            <v>146</v>
          </cell>
          <cell r="R7">
            <v>18</v>
          </cell>
          <cell r="S7">
            <v>284</v>
          </cell>
          <cell r="T7">
            <v>163</v>
          </cell>
          <cell r="U7">
            <v>0</v>
          </cell>
          <cell r="V7">
            <v>4</v>
          </cell>
          <cell r="W7">
            <v>1</v>
          </cell>
          <cell r="X7">
            <v>4</v>
          </cell>
          <cell r="Y7">
            <v>1</v>
          </cell>
          <cell r="Z7">
            <v>3</v>
          </cell>
        </row>
        <row r="8">
          <cell r="P8" t="str">
            <v>PGH</v>
          </cell>
          <cell r="Q8">
            <v>0</v>
          </cell>
          <cell r="R8">
            <v>0</v>
          </cell>
          <cell r="S8">
            <v>15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2169-7564-4B2A-BD47-91A1897A3B4F}">
  <dimension ref="A1:V95"/>
  <sheetViews>
    <sheetView workbookViewId="0">
      <selection activeCell="E20" sqref="E20"/>
    </sheetView>
  </sheetViews>
  <sheetFormatPr defaultRowHeight="15" x14ac:dyDescent="0.25"/>
  <sheetData>
    <row r="1" spans="1:22" x14ac:dyDescent="0.25">
      <c r="A1" t="s">
        <v>50</v>
      </c>
      <c r="B1" t="s">
        <v>51</v>
      </c>
      <c r="C1" t="s">
        <v>52</v>
      </c>
      <c r="D1" t="s">
        <v>47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48</v>
      </c>
      <c r="N1" t="s">
        <v>49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</row>
    <row r="2" spans="1:22" x14ac:dyDescent="0.25">
      <c r="A2" s="12">
        <v>44698</v>
      </c>
      <c r="B2">
        <v>348</v>
      </c>
      <c r="C2" t="s">
        <v>69</v>
      </c>
      <c r="D2" t="s">
        <v>70</v>
      </c>
      <c r="E2" t="s">
        <v>71</v>
      </c>
      <c r="F2" s="13">
        <v>0.36875000000000002</v>
      </c>
      <c r="G2">
        <v>6.4</v>
      </c>
      <c r="H2">
        <v>21.6</v>
      </c>
      <c r="I2">
        <v>56</v>
      </c>
      <c r="J2">
        <v>52.674199999999999</v>
      </c>
      <c r="K2">
        <v>154</v>
      </c>
      <c r="L2">
        <v>15.555199999999999</v>
      </c>
      <c r="M2">
        <v>56.877899999999997</v>
      </c>
      <c r="N2">
        <v>154.2593</v>
      </c>
      <c r="O2" t="s">
        <v>72</v>
      </c>
      <c r="P2" t="s">
        <v>73</v>
      </c>
      <c r="Q2" t="s">
        <v>74</v>
      </c>
      <c r="R2" t="s">
        <v>75</v>
      </c>
      <c r="S2" t="s">
        <v>74</v>
      </c>
      <c r="T2" t="s">
        <v>75</v>
      </c>
      <c r="U2" t="s">
        <v>74</v>
      </c>
      <c r="V2" s="13">
        <v>0.38611111111111113</v>
      </c>
    </row>
    <row r="3" spans="1:22" x14ac:dyDescent="0.25">
      <c r="A3" s="12">
        <v>44698</v>
      </c>
      <c r="B3">
        <v>349</v>
      </c>
      <c r="C3" t="s">
        <v>76</v>
      </c>
      <c r="D3" t="s">
        <v>70</v>
      </c>
      <c r="E3" t="s">
        <v>71</v>
      </c>
      <c r="F3" s="13">
        <v>0.39791666666666664</v>
      </c>
      <c r="G3">
        <v>7</v>
      </c>
      <c r="H3">
        <v>28.9</v>
      </c>
      <c r="I3">
        <v>56</v>
      </c>
      <c r="J3">
        <v>52.7224</v>
      </c>
      <c r="K3">
        <v>154</v>
      </c>
      <c r="L3">
        <v>14.7807</v>
      </c>
      <c r="M3">
        <v>56.878700000000002</v>
      </c>
      <c r="N3">
        <v>154.24629999999999</v>
      </c>
      <c r="O3" t="s">
        <v>72</v>
      </c>
      <c r="P3" t="s">
        <v>73</v>
      </c>
      <c r="Q3" t="s">
        <v>74</v>
      </c>
      <c r="R3" t="s">
        <v>75</v>
      </c>
      <c r="S3" t="s">
        <v>74</v>
      </c>
      <c r="T3" t="s">
        <v>75</v>
      </c>
      <c r="U3" t="s">
        <v>75</v>
      </c>
      <c r="V3" s="13">
        <v>0.38611111111111113</v>
      </c>
    </row>
    <row r="4" spans="1:22" x14ac:dyDescent="0.25">
      <c r="A4" s="12">
        <v>44698</v>
      </c>
      <c r="B4">
        <v>350</v>
      </c>
      <c r="C4" t="s">
        <v>77</v>
      </c>
      <c r="D4" t="s">
        <v>70</v>
      </c>
      <c r="E4" t="s">
        <v>71</v>
      </c>
      <c r="F4" s="13">
        <v>0.43125000000000002</v>
      </c>
      <c r="G4">
        <v>6.8</v>
      </c>
      <c r="H4">
        <v>30.3</v>
      </c>
      <c r="I4">
        <v>56</v>
      </c>
      <c r="J4">
        <v>52.939700000000002</v>
      </c>
      <c r="K4">
        <v>154</v>
      </c>
      <c r="L4">
        <v>15.245200000000001</v>
      </c>
      <c r="M4">
        <v>56.882300000000001</v>
      </c>
      <c r="N4">
        <v>154.25409999999999</v>
      </c>
      <c r="O4" t="s">
        <v>72</v>
      </c>
      <c r="P4" t="s">
        <v>78</v>
      </c>
      <c r="Q4" t="s">
        <v>74</v>
      </c>
      <c r="R4" t="s">
        <v>74</v>
      </c>
      <c r="S4" t="s">
        <v>74</v>
      </c>
      <c r="T4" t="s">
        <v>75</v>
      </c>
      <c r="U4" t="s">
        <v>75</v>
      </c>
      <c r="V4" s="13">
        <v>0.38611111111111113</v>
      </c>
    </row>
    <row r="5" spans="1:22" x14ac:dyDescent="0.25">
      <c r="A5" s="12">
        <v>44698</v>
      </c>
      <c r="B5">
        <v>351</v>
      </c>
      <c r="C5" t="s">
        <v>79</v>
      </c>
      <c r="D5" t="s">
        <v>70</v>
      </c>
      <c r="E5" t="s">
        <v>72</v>
      </c>
      <c r="F5" s="13">
        <v>0.47569444444444442</v>
      </c>
      <c r="G5">
        <v>8.8000000000000007</v>
      </c>
      <c r="H5">
        <v>31</v>
      </c>
      <c r="I5">
        <v>56</v>
      </c>
      <c r="J5">
        <v>53.198300000000003</v>
      </c>
      <c r="K5">
        <v>154</v>
      </c>
      <c r="L5">
        <v>14.7232</v>
      </c>
      <c r="M5">
        <v>56.886600000000001</v>
      </c>
      <c r="N5">
        <v>154.24539999999999</v>
      </c>
      <c r="O5" t="s">
        <v>72</v>
      </c>
      <c r="P5" t="s">
        <v>73</v>
      </c>
      <c r="Q5" t="s">
        <v>74</v>
      </c>
      <c r="R5" t="s">
        <v>74</v>
      </c>
      <c r="S5" t="s">
        <v>75</v>
      </c>
      <c r="T5" t="s">
        <v>75</v>
      </c>
      <c r="U5" t="s">
        <v>74</v>
      </c>
      <c r="V5" s="13">
        <v>0.38611111111111113</v>
      </c>
    </row>
    <row r="6" spans="1:22" x14ac:dyDescent="0.25">
      <c r="A6" s="12">
        <v>44698</v>
      </c>
      <c r="B6">
        <v>352</v>
      </c>
      <c r="C6" t="s">
        <v>80</v>
      </c>
      <c r="D6" t="s">
        <v>70</v>
      </c>
      <c r="E6" t="s">
        <v>71</v>
      </c>
      <c r="F6" s="13">
        <v>0.51041666666666663</v>
      </c>
      <c r="G6">
        <v>7.2</v>
      </c>
      <c r="H6">
        <v>31.1</v>
      </c>
      <c r="I6">
        <v>56</v>
      </c>
      <c r="J6">
        <v>54.048699999999997</v>
      </c>
      <c r="K6">
        <v>154</v>
      </c>
      <c r="L6">
        <v>15.1493</v>
      </c>
      <c r="M6">
        <v>56.900799999999997</v>
      </c>
      <c r="N6">
        <v>154.2525</v>
      </c>
      <c r="O6" t="s">
        <v>72</v>
      </c>
      <c r="P6" t="s">
        <v>73</v>
      </c>
      <c r="Q6" t="s">
        <v>74</v>
      </c>
      <c r="R6" t="s">
        <v>75</v>
      </c>
      <c r="S6" t="s">
        <v>74</v>
      </c>
      <c r="T6" t="s">
        <v>75</v>
      </c>
      <c r="U6" t="s">
        <v>74</v>
      </c>
      <c r="V6" s="13">
        <v>0.38611111111111113</v>
      </c>
    </row>
    <row r="7" spans="1:22" x14ac:dyDescent="0.25">
      <c r="A7" s="12">
        <v>44700</v>
      </c>
      <c r="B7">
        <v>353</v>
      </c>
      <c r="C7" t="s">
        <v>81</v>
      </c>
      <c r="D7" t="s">
        <v>31</v>
      </c>
      <c r="E7" t="s">
        <v>71</v>
      </c>
      <c r="F7" s="13">
        <v>0.4152777777777778</v>
      </c>
      <c r="G7">
        <v>7.2</v>
      </c>
      <c r="H7">
        <v>29.6</v>
      </c>
      <c r="I7">
        <v>57</v>
      </c>
      <c r="J7">
        <v>46.192</v>
      </c>
      <c r="K7">
        <v>152</v>
      </c>
      <c r="L7">
        <v>16.591999999999999</v>
      </c>
      <c r="M7">
        <v>57.7699</v>
      </c>
      <c r="N7">
        <v>152.2765</v>
      </c>
      <c r="O7" t="s">
        <v>72</v>
      </c>
      <c r="P7" t="s">
        <v>73</v>
      </c>
      <c r="Q7" t="s">
        <v>75</v>
      </c>
      <c r="R7" t="s">
        <v>75</v>
      </c>
      <c r="S7" t="s">
        <v>75</v>
      </c>
      <c r="T7" t="s">
        <v>75</v>
      </c>
      <c r="U7" t="s">
        <v>74</v>
      </c>
      <c r="V7" s="13">
        <v>0.47222222222222221</v>
      </c>
    </row>
    <row r="8" spans="1:22" x14ac:dyDescent="0.25">
      <c r="A8" s="12">
        <v>44700</v>
      </c>
      <c r="B8">
        <v>354</v>
      </c>
      <c r="C8" t="s">
        <v>82</v>
      </c>
      <c r="D8" t="s">
        <v>31</v>
      </c>
      <c r="E8" t="s">
        <v>71</v>
      </c>
      <c r="F8" s="13">
        <v>0.44236111111111109</v>
      </c>
      <c r="G8">
        <v>7.4</v>
      </c>
      <c r="H8">
        <v>31</v>
      </c>
      <c r="I8">
        <v>57</v>
      </c>
      <c r="J8">
        <v>46.116900000000001</v>
      </c>
      <c r="K8">
        <v>152</v>
      </c>
      <c r="L8">
        <v>16.430499999999999</v>
      </c>
      <c r="M8">
        <v>57.768599999999999</v>
      </c>
      <c r="N8">
        <v>152.27379999999999</v>
      </c>
      <c r="O8" t="s">
        <v>72</v>
      </c>
      <c r="P8" t="s">
        <v>73</v>
      </c>
      <c r="Q8" t="s">
        <v>74</v>
      </c>
      <c r="R8" t="s">
        <v>74</v>
      </c>
      <c r="S8" t="s">
        <v>74</v>
      </c>
      <c r="T8" t="s">
        <v>74</v>
      </c>
      <c r="U8" t="s">
        <v>75</v>
      </c>
      <c r="V8" s="13">
        <v>0.47222222222222221</v>
      </c>
    </row>
    <row r="9" spans="1:22" x14ac:dyDescent="0.25">
      <c r="A9" s="12">
        <v>44700</v>
      </c>
      <c r="B9">
        <v>355</v>
      </c>
      <c r="C9" t="s">
        <v>83</v>
      </c>
      <c r="D9" t="s">
        <v>31</v>
      </c>
      <c r="E9" t="s">
        <v>71</v>
      </c>
      <c r="F9" s="13">
        <v>0.46527777777777779</v>
      </c>
      <c r="G9">
        <v>7.6</v>
      </c>
      <c r="H9">
        <v>31.7</v>
      </c>
      <c r="I9">
        <v>57</v>
      </c>
      <c r="J9">
        <v>43.436</v>
      </c>
      <c r="K9">
        <v>152</v>
      </c>
      <c r="L9">
        <v>15.539899999999999</v>
      </c>
      <c r="M9">
        <v>57.7239</v>
      </c>
      <c r="N9">
        <v>152.25899999999999</v>
      </c>
      <c r="O9" t="s">
        <v>72</v>
      </c>
      <c r="P9" t="s">
        <v>73</v>
      </c>
      <c r="Q9" t="s">
        <v>74</v>
      </c>
      <c r="R9" t="s">
        <v>75</v>
      </c>
      <c r="S9" t="s">
        <v>74</v>
      </c>
      <c r="T9" t="s">
        <v>75</v>
      </c>
      <c r="U9" t="s">
        <v>74</v>
      </c>
      <c r="V9" s="13">
        <v>0.47222222222222221</v>
      </c>
    </row>
    <row r="10" spans="1:22" x14ac:dyDescent="0.25">
      <c r="A10" s="12">
        <v>44700</v>
      </c>
      <c r="B10">
        <v>356</v>
      </c>
      <c r="C10" t="s">
        <v>84</v>
      </c>
      <c r="D10" t="s">
        <v>31</v>
      </c>
      <c r="E10" t="s">
        <v>71</v>
      </c>
      <c r="F10" s="13">
        <v>0.48402777777777778</v>
      </c>
      <c r="G10">
        <v>9</v>
      </c>
      <c r="H10">
        <v>31.6</v>
      </c>
      <c r="I10">
        <v>57</v>
      </c>
      <c r="J10">
        <v>46.765000000000001</v>
      </c>
      <c r="K10">
        <v>152</v>
      </c>
      <c r="L10">
        <v>16.611899999999999</v>
      </c>
      <c r="M10">
        <v>57.779400000000003</v>
      </c>
      <c r="N10">
        <v>152.27690000000001</v>
      </c>
      <c r="O10" t="s">
        <v>72</v>
      </c>
      <c r="P10" t="s">
        <v>73</v>
      </c>
      <c r="Q10" t="s">
        <v>74</v>
      </c>
      <c r="R10" t="s">
        <v>74</v>
      </c>
      <c r="S10" t="s">
        <v>75</v>
      </c>
      <c r="T10" t="s">
        <v>74</v>
      </c>
      <c r="U10" t="s">
        <v>75</v>
      </c>
      <c r="V10" s="13">
        <v>0.47222222222222221</v>
      </c>
    </row>
    <row r="11" spans="1:22" x14ac:dyDescent="0.25">
      <c r="A11" s="12">
        <v>44700</v>
      </c>
      <c r="B11">
        <v>357</v>
      </c>
      <c r="C11" t="s">
        <v>85</v>
      </c>
      <c r="D11" t="s">
        <v>31</v>
      </c>
      <c r="E11" t="s">
        <v>71</v>
      </c>
      <c r="F11" s="13">
        <v>0.52777777777777779</v>
      </c>
      <c r="G11">
        <v>8.8000000000000007</v>
      </c>
      <c r="H11">
        <v>31.5</v>
      </c>
      <c r="I11">
        <v>57</v>
      </c>
      <c r="J11">
        <v>46.698999999999998</v>
      </c>
      <c r="K11">
        <v>152</v>
      </c>
      <c r="L11">
        <v>15.035</v>
      </c>
      <c r="M11">
        <v>57.778300000000002</v>
      </c>
      <c r="N11">
        <v>152.25059999999999</v>
      </c>
      <c r="O11" t="s">
        <v>72</v>
      </c>
      <c r="P11" t="s">
        <v>73</v>
      </c>
      <c r="Q11" t="s">
        <v>74</v>
      </c>
      <c r="R11" t="s">
        <v>75</v>
      </c>
      <c r="S11" t="s">
        <v>74</v>
      </c>
      <c r="T11" t="s">
        <v>75</v>
      </c>
      <c r="U11" t="s">
        <v>74</v>
      </c>
      <c r="V11" s="13">
        <v>0.47222222222222221</v>
      </c>
    </row>
    <row r="12" spans="1:22" x14ac:dyDescent="0.25">
      <c r="A12" s="12">
        <v>44700</v>
      </c>
      <c r="B12">
        <v>358</v>
      </c>
      <c r="C12" t="s">
        <v>86</v>
      </c>
      <c r="D12" t="s">
        <v>31</v>
      </c>
      <c r="E12" t="s">
        <v>71</v>
      </c>
      <c r="F12" s="13">
        <v>0.55486111111111114</v>
      </c>
      <c r="G12">
        <v>9.8000000000000007</v>
      </c>
      <c r="H12">
        <v>31.7</v>
      </c>
      <c r="I12">
        <v>57</v>
      </c>
      <c r="J12">
        <v>46.889000000000003</v>
      </c>
      <c r="K12">
        <v>152</v>
      </c>
      <c r="L12">
        <v>14.893000000000001</v>
      </c>
      <c r="M12">
        <v>57.781500000000001</v>
      </c>
      <c r="N12">
        <v>152.2482</v>
      </c>
      <c r="O12" t="s">
        <v>72</v>
      </c>
      <c r="P12" t="s">
        <v>78</v>
      </c>
      <c r="Q12" t="s">
        <v>74</v>
      </c>
      <c r="R12" t="s">
        <v>74</v>
      </c>
      <c r="S12" t="s">
        <v>74</v>
      </c>
      <c r="T12" t="s">
        <v>75</v>
      </c>
      <c r="U12" t="s">
        <v>75</v>
      </c>
      <c r="V12" s="13">
        <v>0.47222222222222221</v>
      </c>
    </row>
    <row r="13" spans="1:22" x14ac:dyDescent="0.25">
      <c r="A13" s="12">
        <v>44703</v>
      </c>
      <c r="B13">
        <v>359</v>
      </c>
      <c r="C13" t="s">
        <v>87</v>
      </c>
      <c r="D13" t="s">
        <v>32</v>
      </c>
      <c r="E13" t="s">
        <v>71</v>
      </c>
      <c r="F13" s="13">
        <v>0.53333333333333333</v>
      </c>
      <c r="G13">
        <v>6.9</v>
      </c>
      <c r="H13">
        <v>27.7</v>
      </c>
      <c r="I13">
        <v>57</v>
      </c>
      <c r="J13">
        <v>42.260599999999997</v>
      </c>
      <c r="K13">
        <v>153</v>
      </c>
      <c r="L13">
        <v>54.619100000000003</v>
      </c>
      <c r="M13">
        <v>57.704300000000003</v>
      </c>
      <c r="N13">
        <v>153.91030000000001</v>
      </c>
      <c r="O13" t="s">
        <v>72</v>
      </c>
      <c r="P13" t="s">
        <v>88</v>
      </c>
      <c r="Q13" t="s">
        <v>75</v>
      </c>
      <c r="R13" t="s">
        <v>75</v>
      </c>
      <c r="S13" t="s">
        <v>74</v>
      </c>
      <c r="T13" t="s">
        <v>74</v>
      </c>
      <c r="U13" t="s">
        <v>75</v>
      </c>
      <c r="V13" s="13">
        <v>0.61458333333333337</v>
      </c>
    </row>
    <row r="14" spans="1:22" x14ac:dyDescent="0.25">
      <c r="A14" s="12">
        <v>44703</v>
      </c>
      <c r="B14">
        <v>360</v>
      </c>
      <c r="C14" t="s">
        <v>89</v>
      </c>
      <c r="D14" t="s">
        <v>32</v>
      </c>
      <c r="E14" t="s">
        <v>72</v>
      </c>
      <c r="F14" s="13">
        <v>0.55972222222222223</v>
      </c>
      <c r="G14">
        <v>7.8</v>
      </c>
      <c r="H14">
        <v>30.7</v>
      </c>
      <c r="I14">
        <v>57</v>
      </c>
      <c r="J14">
        <v>42.363100000000003</v>
      </c>
      <c r="K14">
        <v>153</v>
      </c>
      <c r="L14">
        <v>54.543999999999997</v>
      </c>
      <c r="M14">
        <v>57.706099999999999</v>
      </c>
      <c r="N14">
        <v>153.9091</v>
      </c>
      <c r="O14" t="s">
        <v>72</v>
      </c>
      <c r="P14" t="s">
        <v>88</v>
      </c>
      <c r="Q14" t="s">
        <v>75</v>
      </c>
      <c r="R14" t="s">
        <v>75</v>
      </c>
      <c r="S14" t="s">
        <v>75</v>
      </c>
      <c r="T14" t="s">
        <v>75</v>
      </c>
      <c r="U14" t="s">
        <v>74</v>
      </c>
      <c r="V14" s="13">
        <v>0.61458333333333337</v>
      </c>
    </row>
    <row r="15" spans="1:22" x14ac:dyDescent="0.25">
      <c r="A15" s="12">
        <v>44703</v>
      </c>
      <c r="B15">
        <v>361</v>
      </c>
      <c r="C15" t="s">
        <v>90</v>
      </c>
      <c r="D15" t="s">
        <v>32</v>
      </c>
      <c r="E15" t="s">
        <v>71</v>
      </c>
      <c r="F15" s="13">
        <v>0.6118055555555556</v>
      </c>
      <c r="G15">
        <v>7.3</v>
      </c>
      <c r="H15">
        <v>31</v>
      </c>
      <c r="I15">
        <v>57</v>
      </c>
      <c r="J15">
        <v>42.680900000000001</v>
      </c>
      <c r="K15">
        <v>153</v>
      </c>
      <c r="L15">
        <v>54.662199999999999</v>
      </c>
      <c r="M15">
        <v>57.711300000000001</v>
      </c>
      <c r="N15">
        <v>153.911</v>
      </c>
      <c r="O15" t="s">
        <v>72</v>
      </c>
      <c r="P15" t="s">
        <v>73</v>
      </c>
      <c r="Q15" t="s">
        <v>74</v>
      </c>
      <c r="R15" t="s">
        <v>75</v>
      </c>
      <c r="S15" t="s">
        <v>75</v>
      </c>
      <c r="T15" t="s">
        <v>75</v>
      </c>
      <c r="U15" t="s">
        <v>75</v>
      </c>
      <c r="V15" s="13">
        <v>0.61458333333333337</v>
      </c>
    </row>
    <row r="16" spans="1:22" x14ac:dyDescent="0.25">
      <c r="A16" s="12">
        <v>44703</v>
      </c>
      <c r="B16">
        <v>362</v>
      </c>
      <c r="C16" t="s">
        <v>91</v>
      </c>
      <c r="D16" t="s">
        <v>32</v>
      </c>
      <c r="E16" t="s">
        <v>71</v>
      </c>
      <c r="F16" s="13">
        <v>0.64930555555555558</v>
      </c>
      <c r="G16">
        <v>8.5</v>
      </c>
      <c r="H16">
        <v>30.8</v>
      </c>
      <c r="I16">
        <v>57</v>
      </c>
      <c r="J16">
        <v>42.3504</v>
      </c>
      <c r="K16">
        <v>153</v>
      </c>
      <c r="L16">
        <v>54.158799999999999</v>
      </c>
      <c r="M16">
        <v>57.705800000000004</v>
      </c>
      <c r="N16">
        <v>153.90260000000001</v>
      </c>
      <c r="O16" t="s">
        <v>72</v>
      </c>
      <c r="P16" t="s">
        <v>78</v>
      </c>
      <c r="Q16" t="s">
        <v>74</v>
      </c>
      <c r="R16" t="s">
        <v>75</v>
      </c>
      <c r="S16" t="s">
        <v>75</v>
      </c>
      <c r="T16" t="s">
        <v>74</v>
      </c>
      <c r="U16" t="s">
        <v>75</v>
      </c>
      <c r="V16" s="13">
        <v>0.61458333333333337</v>
      </c>
    </row>
    <row r="17" spans="1:22" x14ac:dyDescent="0.25">
      <c r="A17" s="12">
        <v>44703</v>
      </c>
      <c r="B17">
        <v>363</v>
      </c>
      <c r="C17" t="s">
        <v>92</v>
      </c>
      <c r="D17" t="s">
        <v>32</v>
      </c>
      <c r="E17" t="s">
        <v>71</v>
      </c>
      <c r="F17" s="13">
        <v>0.67500000000000004</v>
      </c>
      <c r="G17">
        <v>7.6</v>
      </c>
      <c r="H17">
        <v>31.1</v>
      </c>
      <c r="I17">
        <v>57</v>
      </c>
      <c r="J17">
        <v>42.4771</v>
      </c>
      <c r="K17">
        <v>153</v>
      </c>
      <c r="L17">
        <v>54.224299999999999</v>
      </c>
      <c r="M17">
        <v>57.707999999999998</v>
      </c>
      <c r="N17">
        <v>153.90369999999999</v>
      </c>
      <c r="O17" t="s">
        <v>72</v>
      </c>
      <c r="P17" t="s">
        <v>73</v>
      </c>
      <c r="Q17" t="s">
        <v>75</v>
      </c>
      <c r="R17" t="s">
        <v>75</v>
      </c>
      <c r="S17" t="s">
        <v>75</v>
      </c>
      <c r="T17" t="s">
        <v>75</v>
      </c>
      <c r="U17" t="s">
        <v>74</v>
      </c>
      <c r="V17" s="13">
        <v>0.61458333333333337</v>
      </c>
    </row>
    <row r="18" spans="1:22" x14ac:dyDescent="0.25">
      <c r="A18" s="12">
        <v>44705</v>
      </c>
      <c r="B18">
        <v>364</v>
      </c>
      <c r="C18" t="s">
        <v>93</v>
      </c>
      <c r="D18" t="s">
        <v>33</v>
      </c>
      <c r="E18" t="s">
        <v>71</v>
      </c>
      <c r="F18" s="13">
        <v>0.61736111111111114</v>
      </c>
      <c r="G18">
        <v>7.4</v>
      </c>
      <c r="H18">
        <v>28.7</v>
      </c>
      <c r="I18">
        <v>57</v>
      </c>
      <c r="J18">
        <v>19.334299999999999</v>
      </c>
      <c r="K18">
        <v>152</v>
      </c>
      <c r="L18">
        <v>54.785600000000002</v>
      </c>
      <c r="M18">
        <v>57.322200000000002</v>
      </c>
      <c r="N18">
        <v>152.91309999999999</v>
      </c>
      <c r="O18" t="s">
        <v>72</v>
      </c>
      <c r="P18" t="s">
        <v>73</v>
      </c>
      <c r="Q18" t="s">
        <v>74</v>
      </c>
      <c r="R18" t="s">
        <v>75</v>
      </c>
      <c r="S18" t="s">
        <v>74</v>
      </c>
      <c r="T18" t="s">
        <v>75</v>
      </c>
      <c r="U18" t="s">
        <v>75</v>
      </c>
      <c r="V18" s="13">
        <v>0.68194444444444446</v>
      </c>
    </row>
    <row r="19" spans="1:22" x14ac:dyDescent="0.25">
      <c r="A19" s="12">
        <v>44705</v>
      </c>
      <c r="B19">
        <v>365</v>
      </c>
      <c r="C19" t="s">
        <v>94</v>
      </c>
      <c r="D19" t="s">
        <v>33</v>
      </c>
      <c r="E19" t="s">
        <v>71</v>
      </c>
      <c r="F19" s="13">
        <v>0.63888888888888884</v>
      </c>
      <c r="G19">
        <v>7.4</v>
      </c>
      <c r="H19">
        <v>30.4</v>
      </c>
      <c r="I19">
        <v>57</v>
      </c>
      <c r="J19">
        <v>19.3583</v>
      </c>
      <c r="K19">
        <v>152</v>
      </c>
      <c r="L19">
        <v>54.622799999999998</v>
      </c>
      <c r="M19">
        <v>57.322600000000001</v>
      </c>
      <c r="N19">
        <v>152.91040000000001</v>
      </c>
      <c r="O19" t="s">
        <v>72</v>
      </c>
      <c r="P19" t="s">
        <v>73</v>
      </c>
      <c r="Q19" t="s">
        <v>74</v>
      </c>
      <c r="R19" t="s">
        <v>75</v>
      </c>
      <c r="S19" t="s">
        <v>74</v>
      </c>
      <c r="T19" t="s">
        <v>75</v>
      </c>
      <c r="U19" t="s">
        <v>75</v>
      </c>
      <c r="V19" s="13">
        <v>0.68194444444444446</v>
      </c>
    </row>
    <row r="20" spans="1:22" x14ac:dyDescent="0.25">
      <c r="A20" s="12">
        <v>44705</v>
      </c>
      <c r="B20">
        <v>366</v>
      </c>
      <c r="C20" t="s">
        <v>95</v>
      </c>
      <c r="D20" t="s">
        <v>33</v>
      </c>
      <c r="E20" t="s">
        <v>72</v>
      </c>
      <c r="F20" s="13">
        <v>0.6645833333333333</v>
      </c>
      <c r="G20">
        <v>8.5</v>
      </c>
      <c r="H20">
        <v>29.4</v>
      </c>
      <c r="I20">
        <v>57</v>
      </c>
      <c r="J20">
        <v>19.656400000000001</v>
      </c>
      <c r="K20">
        <v>152</v>
      </c>
      <c r="L20">
        <v>53.860399999999998</v>
      </c>
      <c r="M20">
        <v>57.327599999999997</v>
      </c>
      <c r="N20">
        <v>152.89769999999999</v>
      </c>
      <c r="O20" t="s">
        <v>72</v>
      </c>
      <c r="P20" t="s">
        <v>73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s="13">
        <v>0.68194444444444446</v>
      </c>
    </row>
    <row r="21" spans="1:22" x14ac:dyDescent="0.25">
      <c r="A21" s="12">
        <v>44705</v>
      </c>
      <c r="B21">
        <v>367</v>
      </c>
      <c r="C21" t="s">
        <v>96</v>
      </c>
      <c r="D21" t="s">
        <v>33</v>
      </c>
      <c r="E21" t="s">
        <v>71</v>
      </c>
      <c r="F21" s="13">
        <v>0.69236111111111109</v>
      </c>
      <c r="G21">
        <v>8.4</v>
      </c>
      <c r="H21">
        <v>30.5</v>
      </c>
      <c r="I21">
        <v>57</v>
      </c>
      <c r="J21">
        <v>19.507100000000001</v>
      </c>
      <c r="K21">
        <v>152</v>
      </c>
      <c r="L21">
        <v>54.350999999999999</v>
      </c>
      <c r="M21">
        <v>57.325099999999999</v>
      </c>
      <c r="N21">
        <v>152.9059</v>
      </c>
      <c r="O21" t="s">
        <v>72</v>
      </c>
      <c r="P21" t="s">
        <v>73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s="13">
        <v>0.68194444444444446</v>
      </c>
    </row>
    <row r="22" spans="1:22" x14ac:dyDescent="0.25">
      <c r="A22" s="12">
        <v>44705</v>
      </c>
      <c r="B22">
        <v>368</v>
      </c>
      <c r="C22" t="s">
        <v>97</v>
      </c>
      <c r="D22" t="s">
        <v>33</v>
      </c>
      <c r="E22" t="s">
        <v>72</v>
      </c>
      <c r="F22" s="13">
        <v>0.71250000000000002</v>
      </c>
      <c r="G22">
        <v>7.7</v>
      </c>
      <c r="H22">
        <v>31.2</v>
      </c>
      <c r="I22">
        <v>57</v>
      </c>
      <c r="J22">
        <v>19.411200000000001</v>
      </c>
      <c r="K22">
        <v>152</v>
      </c>
      <c r="L22">
        <v>54.279400000000003</v>
      </c>
      <c r="M22">
        <v>57.323500000000003</v>
      </c>
      <c r="N22">
        <v>152.90469999999999</v>
      </c>
      <c r="O22" t="s">
        <v>72</v>
      </c>
      <c r="P22" t="s">
        <v>73</v>
      </c>
      <c r="Q22" t="s">
        <v>74</v>
      </c>
      <c r="R22" t="s">
        <v>75</v>
      </c>
      <c r="S22" t="s">
        <v>75</v>
      </c>
      <c r="T22" t="s">
        <v>75</v>
      </c>
      <c r="U22" t="s">
        <v>75</v>
      </c>
      <c r="V22" s="13">
        <v>0.68194444444444446</v>
      </c>
    </row>
    <row r="23" spans="1:22" x14ac:dyDescent="0.25">
      <c r="A23" s="12">
        <v>44705</v>
      </c>
      <c r="B23">
        <v>369</v>
      </c>
      <c r="C23" t="s">
        <v>98</v>
      </c>
      <c r="D23" t="s">
        <v>33</v>
      </c>
      <c r="E23" t="s">
        <v>72</v>
      </c>
      <c r="F23" s="13">
        <v>0.73750000000000004</v>
      </c>
      <c r="G23">
        <v>8.4</v>
      </c>
      <c r="H23">
        <v>30.7</v>
      </c>
      <c r="I23">
        <v>57</v>
      </c>
      <c r="J23">
        <v>19.392900000000001</v>
      </c>
      <c r="K23">
        <v>152</v>
      </c>
      <c r="L23">
        <v>53.9696</v>
      </c>
      <c r="M23">
        <v>57.3232</v>
      </c>
      <c r="N23">
        <v>152.89949999999999</v>
      </c>
      <c r="O23" t="s">
        <v>72</v>
      </c>
      <c r="P23" t="s">
        <v>73</v>
      </c>
      <c r="Q23" t="s">
        <v>74</v>
      </c>
      <c r="R23" t="s">
        <v>75</v>
      </c>
      <c r="S23" t="s">
        <v>75</v>
      </c>
      <c r="T23" t="s">
        <v>74</v>
      </c>
      <c r="U23" t="s">
        <v>75</v>
      </c>
      <c r="V23" s="13">
        <v>0.68194444444444446</v>
      </c>
    </row>
    <row r="24" spans="1:22" x14ac:dyDescent="0.25">
      <c r="A24" s="12">
        <v>44705</v>
      </c>
      <c r="B24">
        <v>370</v>
      </c>
      <c r="C24" t="s">
        <v>99</v>
      </c>
      <c r="D24" t="s">
        <v>33</v>
      </c>
      <c r="E24" t="s">
        <v>71</v>
      </c>
      <c r="F24" s="13">
        <v>0.76388888888888884</v>
      </c>
      <c r="G24">
        <v>7.3</v>
      </c>
      <c r="H24">
        <v>31.3</v>
      </c>
      <c r="I24">
        <v>57</v>
      </c>
      <c r="J24">
        <v>19.2834</v>
      </c>
      <c r="K24">
        <v>152</v>
      </c>
      <c r="L24">
        <v>54.102600000000002</v>
      </c>
      <c r="M24">
        <v>57.321399999999997</v>
      </c>
      <c r="N24">
        <v>152.90170000000001</v>
      </c>
      <c r="O24" t="s">
        <v>72</v>
      </c>
      <c r="P24" t="s">
        <v>73</v>
      </c>
      <c r="Q24" t="s">
        <v>74</v>
      </c>
      <c r="R24" t="s">
        <v>75</v>
      </c>
      <c r="S24" t="s">
        <v>74</v>
      </c>
      <c r="T24" t="s">
        <v>74</v>
      </c>
      <c r="U24" t="s">
        <v>75</v>
      </c>
      <c r="V24" s="13">
        <v>0.68194444444444446</v>
      </c>
    </row>
    <row r="25" spans="1:22" x14ac:dyDescent="0.25">
      <c r="A25" s="12">
        <v>44744</v>
      </c>
      <c r="B25">
        <v>376</v>
      </c>
      <c r="C25" t="s">
        <v>87</v>
      </c>
      <c r="D25" t="s">
        <v>32</v>
      </c>
      <c r="E25" t="s">
        <v>71</v>
      </c>
      <c r="F25" s="13">
        <v>0.41180555555555554</v>
      </c>
      <c r="G25">
        <v>14.1</v>
      </c>
      <c r="H25">
        <v>22.4</v>
      </c>
      <c r="I25">
        <v>57</v>
      </c>
      <c r="J25">
        <v>42.260599999999997</v>
      </c>
      <c r="K25">
        <v>153</v>
      </c>
      <c r="L25">
        <v>54.619100000000003</v>
      </c>
      <c r="M25">
        <v>57.704300000000003</v>
      </c>
      <c r="N25">
        <v>153.91030000000001</v>
      </c>
      <c r="O25" t="s">
        <v>72</v>
      </c>
      <c r="P25" t="s">
        <v>100</v>
      </c>
      <c r="Q25" t="s">
        <v>75</v>
      </c>
      <c r="R25" t="s">
        <v>75</v>
      </c>
      <c r="S25" t="s">
        <v>74</v>
      </c>
      <c r="T25" t="s">
        <v>74</v>
      </c>
      <c r="U25" t="s">
        <v>75</v>
      </c>
      <c r="V25" s="13">
        <v>0.47291666666666665</v>
      </c>
    </row>
    <row r="26" spans="1:22" x14ac:dyDescent="0.25">
      <c r="A26" s="12">
        <v>44744</v>
      </c>
      <c r="B26">
        <v>377</v>
      </c>
      <c r="C26" t="s">
        <v>91</v>
      </c>
      <c r="D26" t="s">
        <v>32</v>
      </c>
      <c r="E26" t="s">
        <v>71</v>
      </c>
      <c r="F26" s="13">
        <v>0.43680555555555556</v>
      </c>
      <c r="G26">
        <v>14.3</v>
      </c>
      <c r="H26">
        <v>27.2</v>
      </c>
      <c r="I26">
        <v>57</v>
      </c>
      <c r="J26">
        <v>42.351999999999997</v>
      </c>
      <c r="K26">
        <v>153</v>
      </c>
      <c r="L26">
        <v>54.167999999999999</v>
      </c>
      <c r="M26">
        <v>57.7059</v>
      </c>
      <c r="N26">
        <v>153.90280000000001</v>
      </c>
      <c r="O26" t="s">
        <v>72</v>
      </c>
      <c r="P26" t="s">
        <v>101</v>
      </c>
      <c r="Q26" t="s">
        <v>75</v>
      </c>
      <c r="R26" t="s">
        <v>74</v>
      </c>
      <c r="S26" t="s">
        <v>75</v>
      </c>
      <c r="T26" t="s">
        <v>74</v>
      </c>
      <c r="U26" t="s">
        <v>75</v>
      </c>
      <c r="V26" s="13">
        <v>0.47291666666666665</v>
      </c>
    </row>
    <row r="27" spans="1:22" x14ac:dyDescent="0.25">
      <c r="A27" s="12">
        <v>44744</v>
      </c>
      <c r="B27">
        <v>378</v>
      </c>
      <c r="C27" t="s">
        <v>92</v>
      </c>
      <c r="D27" t="s">
        <v>32</v>
      </c>
      <c r="E27" t="s">
        <v>71</v>
      </c>
      <c r="F27" s="13">
        <v>0.46458333333333335</v>
      </c>
      <c r="G27">
        <v>14.1</v>
      </c>
      <c r="H27">
        <v>28.1</v>
      </c>
      <c r="I27">
        <v>57</v>
      </c>
      <c r="J27">
        <v>42.497500000000002</v>
      </c>
      <c r="K27">
        <v>153</v>
      </c>
      <c r="L27">
        <v>54.238999999999997</v>
      </c>
      <c r="M27">
        <v>57.708300000000001</v>
      </c>
      <c r="N27">
        <v>153.904</v>
      </c>
      <c r="O27" t="s">
        <v>72</v>
      </c>
      <c r="P27" t="s">
        <v>73</v>
      </c>
      <c r="Q27" t="s">
        <v>75</v>
      </c>
      <c r="R27" t="s">
        <v>75</v>
      </c>
      <c r="S27" t="s">
        <v>75</v>
      </c>
      <c r="T27" t="s">
        <v>75</v>
      </c>
      <c r="U27" t="s">
        <v>75</v>
      </c>
      <c r="V27" s="13">
        <v>0.47291666666666665</v>
      </c>
    </row>
    <row r="28" spans="1:22" x14ac:dyDescent="0.25">
      <c r="A28" s="12">
        <v>44744</v>
      </c>
      <c r="B28">
        <v>379</v>
      </c>
      <c r="C28" t="s">
        <v>90</v>
      </c>
      <c r="D28" t="s">
        <v>32</v>
      </c>
      <c r="E28" t="s">
        <v>71</v>
      </c>
      <c r="F28" s="13">
        <v>0.50624999999999998</v>
      </c>
      <c r="G28">
        <v>14.3</v>
      </c>
      <c r="H28">
        <v>28.3</v>
      </c>
      <c r="I28">
        <v>57</v>
      </c>
      <c r="J28">
        <v>42.680900000000001</v>
      </c>
      <c r="K28">
        <v>153</v>
      </c>
      <c r="L28">
        <v>54.662199999999999</v>
      </c>
      <c r="M28">
        <v>57.711300000000001</v>
      </c>
      <c r="N28">
        <v>153.911</v>
      </c>
      <c r="O28" t="s">
        <v>72</v>
      </c>
      <c r="P28" t="s">
        <v>73</v>
      </c>
      <c r="Q28" t="s">
        <v>74</v>
      </c>
      <c r="R28" t="s">
        <v>74</v>
      </c>
      <c r="S28" t="s">
        <v>74</v>
      </c>
      <c r="T28" t="s">
        <v>75</v>
      </c>
      <c r="U28" t="s">
        <v>75</v>
      </c>
      <c r="V28" s="13">
        <v>0.47291666666666665</v>
      </c>
    </row>
    <row r="29" spans="1:22" x14ac:dyDescent="0.25">
      <c r="A29" s="12">
        <v>44744</v>
      </c>
      <c r="B29">
        <v>380</v>
      </c>
      <c r="C29" t="s">
        <v>89</v>
      </c>
      <c r="D29" t="s">
        <v>32</v>
      </c>
      <c r="E29" t="s">
        <v>71</v>
      </c>
      <c r="F29" s="13">
        <v>0.53611111111111109</v>
      </c>
      <c r="G29">
        <v>14.5</v>
      </c>
      <c r="H29">
        <v>27.8</v>
      </c>
      <c r="I29">
        <v>57</v>
      </c>
      <c r="J29">
        <v>42.359200000000001</v>
      </c>
      <c r="K29">
        <v>153</v>
      </c>
      <c r="L29">
        <v>54.580399999999997</v>
      </c>
      <c r="M29">
        <v>57.706000000000003</v>
      </c>
      <c r="N29">
        <v>153.90969999999999</v>
      </c>
      <c r="O29" t="s">
        <v>72</v>
      </c>
      <c r="P29" t="s">
        <v>102</v>
      </c>
      <c r="Q29" t="s">
        <v>75</v>
      </c>
      <c r="R29" t="s">
        <v>75</v>
      </c>
      <c r="S29" t="s">
        <v>74</v>
      </c>
      <c r="T29" t="s">
        <v>75</v>
      </c>
      <c r="U29" t="s">
        <v>74</v>
      </c>
      <c r="V29" s="13">
        <v>0.47291666666666665</v>
      </c>
    </row>
    <row r="30" spans="1:22" x14ac:dyDescent="0.25">
      <c r="A30" s="12">
        <v>44724</v>
      </c>
      <c r="B30">
        <v>371</v>
      </c>
      <c r="C30" t="s">
        <v>84</v>
      </c>
      <c r="D30" t="s">
        <v>31</v>
      </c>
      <c r="E30" t="s">
        <v>72</v>
      </c>
      <c r="F30" s="13">
        <v>0.24861111111111112</v>
      </c>
      <c r="G30">
        <v>10.1</v>
      </c>
      <c r="H30">
        <v>29.7</v>
      </c>
      <c r="I30">
        <v>57</v>
      </c>
      <c r="J30">
        <v>46.765000000000001</v>
      </c>
      <c r="K30">
        <v>152</v>
      </c>
      <c r="L30">
        <v>16.611899999999999</v>
      </c>
      <c r="M30">
        <v>57.779400000000003</v>
      </c>
      <c r="N30">
        <v>152.27690000000001</v>
      </c>
      <c r="O30" t="s">
        <v>72</v>
      </c>
      <c r="P30" t="s">
        <v>73</v>
      </c>
      <c r="Q30" t="s">
        <v>75</v>
      </c>
      <c r="R30" t="s">
        <v>75</v>
      </c>
      <c r="S30" t="s">
        <v>74</v>
      </c>
      <c r="T30" t="s">
        <v>74</v>
      </c>
      <c r="U30" t="s">
        <v>75</v>
      </c>
      <c r="V30" s="13">
        <v>0.29722222222222222</v>
      </c>
    </row>
    <row r="31" spans="1:22" x14ac:dyDescent="0.25">
      <c r="A31" s="12">
        <v>44724</v>
      </c>
      <c r="B31">
        <v>372</v>
      </c>
      <c r="C31" t="s">
        <v>85</v>
      </c>
      <c r="D31" t="s">
        <v>31</v>
      </c>
      <c r="E31" t="s">
        <v>71</v>
      </c>
      <c r="F31" s="13">
        <v>0.28055555555555556</v>
      </c>
      <c r="G31">
        <v>10.199999999999999</v>
      </c>
      <c r="H31">
        <v>29</v>
      </c>
      <c r="I31">
        <v>57</v>
      </c>
      <c r="J31">
        <v>46.698999999999998</v>
      </c>
      <c r="K31">
        <v>152</v>
      </c>
      <c r="L31">
        <v>15.035</v>
      </c>
      <c r="M31">
        <v>57.778300000000002</v>
      </c>
      <c r="N31">
        <v>152.25059999999999</v>
      </c>
      <c r="O31" t="s">
        <v>72</v>
      </c>
      <c r="P31" t="s">
        <v>73</v>
      </c>
      <c r="Q31" t="s">
        <v>75</v>
      </c>
      <c r="R31" t="s">
        <v>75</v>
      </c>
      <c r="S31" t="s">
        <v>74</v>
      </c>
      <c r="T31" t="s">
        <v>75</v>
      </c>
      <c r="U31" t="s">
        <v>74</v>
      </c>
      <c r="V31" s="13">
        <v>0.29722222222222222</v>
      </c>
    </row>
    <row r="32" spans="1:22" x14ac:dyDescent="0.25">
      <c r="A32" s="12">
        <v>44724</v>
      </c>
      <c r="B32">
        <v>373</v>
      </c>
      <c r="C32" t="s">
        <v>83</v>
      </c>
      <c r="D32" t="s">
        <v>31</v>
      </c>
      <c r="E32" t="s">
        <v>71</v>
      </c>
      <c r="F32" s="13">
        <v>0.30555555555555558</v>
      </c>
      <c r="G32">
        <v>9.6999999999999993</v>
      </c>
      <c r="H32">
        <v>29.8</v>
      </c>
      <c r="I32">
        <v>57</v>
      </c>
      <c r="J32">
        <v>43.436</v>
      </c>
      <c r="K32">
        <v>152</v>
      </c>
      <c r="L32">
        <v>15.539899999999999</v>
      </c>
      <c r="M32">
        <v>57.7239</v>
      </c>
      <c r="N32">
        <v>152.25899999999999</v>
      </c>
      <c r="O32" t="s">
        <v>72</v>
      </c>
      <c r="P32" t="s">
        <v>73</v>
      </c>
      <c r="Q32" t="s">
        <v>75</v>
      </c>
      <c r="R32" t="s">
        <v>75</v>
      </c>
      <c r="S32" t="s">
        <v>75</v>
      </c>
      <c r="T32" t="s">
        <v>75</v>
      </c>
      <c r="U32" t="s">
        <v>74</v>
      </c>
      <c r="V32" s="13">
        <v>0.29722222222222222</v>
      </c>
    </row>
    <row r="33" spans="1:22" x14ac:dyDescent="0.25">
      <c r="A33" s="12">
        <v>44724</v>
      </c>
      <c r="B33">
        <v>374</v>
      </c>
      <c r="C33" t="s">
        <v>82</v>
      </c>
      <c r="D33" t="s">
        <v>31</v>
      </c>
      <c r="E33" t="s">
        <v>71</v>
      </c>
      <c r="F33" s="13">
        <v>0.33055555555555555</v>
      </c>
      <c r="G33">
        <v>9.6</v>
      </c>
      <c r="H33">
        <v>30.1</v>
      </c>
      <c r="I33">
        <v>57</v>
      </c>
      <c r="J33">
        <v>46.116900000000001</v>
      </c>
      <c r="K33">
        <v>152</v>
      </c>
      <c r="L33">
        <v>16.430499999999999</v>
      </c>
      <c r="M33">
        <v>57.768599999999999</v>
      </c>
      <c r="N33">
        <v>152.27379999999999</v>
      </c>
      <c r="O33" t="s">
        <v>72</v>
      </c>
      <c r="P33" t="s">
        <v>73</v>
      </c>
      <c r="Q33" t="s">
        <v>75</v>
      </c>
      <c r="R33" t="s">
        <v>75</v>
      </c>
      <c r="S33" t="s">
        <v>74</v>
      </c>
      <c r="T33" t="s">
        <v>74</v>
      </c>
      <c r="U33" t="s">
        <v>75</v>
      </c>
      <c r="V33" s="13">
        <v>0.29722222222222222</v>
      </c>
    </row>
    <row r="34" spans="1:22" x14ac:dyDescent="0.25">
      <c r="A34" s="12">
        <v>44724</v>
      </c>
      <c r="B34">
        <v>375</v>
      </c>
      <c r="C34" t="s">
        <v>81</v>
      </c>
      <c r="D34" t="s">
        <v>31</v>
      </c>
      <c r="E34" t="s">
        <v>71</v>
      </c>
      <c r="F34" s="13">
        <v>0.36875000000000002</v>
      </c>
      <c r="G34">
        <v>10</v>
      </c>
      <c r="H34">
        <v>31.1</v>
      </c>
      <c r="I34">
        <v>57</v>
      </c>
      <c r="J34">
        <v>46.192</v>
      </c>
      <c r="K34">
        <v>152</v>
      </c>
      <c r="L34">
        <v>16.591999999999999</v>
      </c>
      <c r="M34">
        <v>57.7699</v>
      </c>
      <c r="N34">
        <v>152.2765</v>
      </c>
      <c r="O34" t="s">
        <v>72</v>
      </c>
      <c r="P34" t="s">
        <v>73</v>
      </c>
      <c r="Q34" t="s">
        <v>75</v>
      </c>
      <c r="R34" t="s">
        <v>75</v>
      </c>
      <c r="S34" t="s">
        <v>75</v>
      </c>
      <c r="T34" t="s">
        <v>75</v>
      </c>
      <c r="U34" t="s">
        <v>74</v>
      </c>
      <c r="V34" s="13">
        <v>0.29722222222222222</v>
      </c>
    </row>
    <row r="35" spans="1:22" x14ac:dyDescent="0.25">
      <c r="A35" s="12">
        <v>44746</v>
      </c>
      <c r="B35">
        <v>381</v>
      </c>
      <c r="C35" t="s">
        <v>103</v>
      </c>
      <c r="D35" t="s">
        <v>104</v>
      </c>
      <c r="E35" t="s">
        <v>71</v>
      </c>
      <c r="F35" s="13">
        <v>0.45208333333333334</v>
      </c>
      <c r="G35">
        <v>11.3</v>
      </c>
      <c r="H35">
        <v>26.7</v>
      </c>
      <c r="I35">
        <v>57</v>
      </c>
      <c r="J35">
        <v>6.2492999999999999</v>
      </c>
      <c r="K35">
        <v>156</v>
      </c>
      <c r="L35">
        <v>28.595800000000001</v>
      </c>
      <c r="M35">
        <v>57.104199999999999</v>
      </c>
      <c r="N35">
        <v>156.47659999999999</v>
      </c>
      <c r="O35" t="s">
        <v>72</v>
      </c>
      <c r="P35" t="s">
        <v>73</v>
      </c>
      <c r="Q35" t="s">
        <v>75</v>
      </c>
      <c r="R35" t="s">
        <v>75</v>
      </c>
      <c r="S35" t="s">
        <v>75</v>
      </c>
      <c r="T35" t="s">
        <v>75</v>
      </c>
      <c r="U35" t="s">
        <v>75</v>
      </c>
      <c r="V35" s="13">
        <v>0.52777777777777779</v>
      </c>
    </row>
    <row r="36" spans="1:22" x14ac:dyDescent="0.25">
      <c r="A36" s="12">
        <v>44746</v>
      </c>
      <c r="B36">
        <v>382</v>
      </c>
      <c r="C36" t="s">
        <v>105</v>
      </c>
      <c r="D36" t="s">
        <v>104</v>
      </c>
      <c r="E36" t="s">
        <v>72</v>
      </c>
      <c r="F36" s="13">
        <v>0.48819444444444443</v>
      </c>
      <c r="G36">
        <v>11.1</v>
      </c>
      <c r="H36">
        <v>26.6</v>
      </c>
      <c r="I36">
        <v>57</v>
      </c>
      <c r="J36">
        <v>6.2747000000000002</v>
      </c>
      <c r="K36">
        <v>156</v>
      </c>
      <c r="L36">
        <v>28.302199999999999</v>
      </c>
      <c r="M36">
        <v>57.104599999999998</v>
      </c>
      <c r="N36">
        <v>156.4717</v>
      </c>
      <c r="O36" t="s">
        <v>72</v>
      </c>
      <c r="P36" t="s">
        <v>73</v>
      </c>
      <c r="Q36" t="s">
        <v>75</v>
      </c>
      <c r="R36" t="s">
        <v>75</v>
      </c>
      <c r="S36" t="s">
        <v>75</v>
      </c>
      <c r="T36" t="s">
        <v>75</v>
      </c>
      <c r="U36" t="s">
        <v>74</v>
      </c>
      <c r="V36" s="13">
        <v>0.52777777777777779</v>
      </c>
    </row>
    <row r="37" spans="1:22" x14ac:dyDescent="0.25">
      <c r="A37" s="12">
        <v>44746</v>
      </c>
      <c r="B37">
        <v>383</v>
      </c>
      <c r="C37" t="s">
        <v>106</v>
      </c>
      <c r="D37" t="s">
        <v>104</v>
      </c>
      <c r="E37" t="s">
        <v>71</v>
      </c>
      <c r="F37" s="13">
        <v>0.51597222222222228</v>
      </c>
      <c r="G37">
        <v>9.6999999999999993</v>
      </c>
      <c r="H37">
        <v>24.9</v>
      </c>
      <c r="I37">
        <v>57</v>
      </c>
      <c r="J37">
        <v>6.5589000000000004</v>
      </c>
      <c r="K37">
        <v>156</v>
      </c>
      <c r="L37">
        <v>27.612100000000002</v>
      </c>
      <c r="M37">
        <v>57.109299999999998</v>
      </c>
      <c r="N37">
        <v>156.46019999999999</v>
      </c>
      <c r="O37" t="s">
        <v>72</v>
      </c>
      <c r="P37" t="s">
        <v>73</v>
      </c>
      <c r="Q37" t="s">
        <v>75</v>
      </c>
      <c r="R37" t="s">
        <v>75</v>
      </c>
      <c r="S37" t="s">
        <v>74</v>
      </c>
      <c r="T37" t="s">
        <v>74</v>
      </c>
      <c r="U37" t="s">
        <v>74</v>
      </c>
      <c r="V37" s="13">
        <v>0.52777777777777779</v>
      </c>
    </row>
    <row r="38" spans="1:22" x14ac:dyDescent="0.25">
      <c r="A38" s="12">
        <v>44746</v>
      </c>
      <c r="B38">
        <v>384</v>
      </c>
      <c r="C38" t="s">
        <v>107</v>
      </c>
      <c r="D38" t="s">
        <v>104</v>
      </c>
      <c r="E38" t="s">
        <v>71</v>
      </c>
      <c r="F38" s="13">
        <v>0.5395833333333333</v>
      </c>
      <c r="G38">
        <v>11.1</v>
      </c>
      <c r="H38">
        <v>26</v>
      </c>
      <c r="I38">
        <v>57</v>
      </c>
      <c r="J38">
        <v>6.4208999999999996</v>
      </c>
      <c r="K38">
        <v>156</v>
      </c>
      <c r="L38">
        <v>27.385200000000001</v>
      </c>
      <c r="M38">
        <v>57.106999999999999</v>
      </c>
      <c r="N38">
        <v>156.4564</v>
      </c>
      <c r="O38" t="s">
        <v>72</v>
      </c>
      <c r="P38" t="s">
        <v>73</v>
      </c>
      <c r="Q38" t="s">
        <v>75</v>
      </c>
      <c r="R38" t="s">
        <v>75</v>
      </c>
      <c r="S38" t="s">
        <v>74</v>
      </c>
      <c r="T38" t="s">
        <v>75</v>
      </c>
      <c r="U38" t="s">
        <v>74</v>
      </c>
      <c r="V38" s="13">
        <v>0.52777777777777779</v>
      </c>
    </row>
    <row r="39" spans="1:22" x14ac:dyDescent="0.25">
      <c r="A39" s="12">
        <v>44746</v>
      </c>
      <c r="B39">
        <v>385</v>
      </c>
      <c r="C39" t="s">
        <v>108</v>
      </c>
      <c r="D39" t="s">
        <v>104</v>
      </c>
      <c r="E39" t="s">
        <v>71</v>
      </c>
      <c r="F39" s="13">
        <v>0.55277777777777781</v>
      </c>
      <c r="G39">
        <v>11.1</v>
      </c>
      <c r="H39">
        <v>27.3</v>
      </c>
      <c r="I39">
        <v>57</v>
      </c>
      <c r="J39">
        <v>6.29</v>
      </c>
      <c r="K39">
        <v>156</v>
      </c>
      <c r="L39">
        <v>27.507400000000001</v>
      </c>
      <c r="M39">
        <v>57.104799999999997</v>
      </c>
      <c r="N39">
        <v>156.45849999999999</v>
      </c>
      <c r="O39" t="s">
        <v>72</v>
      </c>
      <c r="P39" t="s">
        <v>73</v>
      </c>
      <c r="Q39" t="s">
        <v>75</v>
      </c>
      <c r="R39" t="s">
        <v>74</v>
      </c>
      <c r="S39" t="s">
        <v>75</v>
      </c>
      <c r="T39" t="s">
        <v>75</v>
      </c>
      <c r="U39" t="s">
        <v>74</v>
      </c>
      <c r="V39" s="13">
        <v>0.52777777777777779</v>
      </c>
    </row>
    <row r="40" spans="1:22" x14ac:dyDescent="0.25">
      <c r="A40" s="12">
        <v>44746</v>
      </c>
      <c r="B40">
        <v>386</v>
      </c>
      <c r="C40" t="s">
        <v>109</v>
      </c>
      <c r="D40" t="s">
        <v>104</v>
      </c>
      <c r="E40" t="s">
        <v>71</v>
      </c>
      <c r="F40" s="13">
        <v>0.5854166666666667</v>
      </c>
      <c r="G40">
        <v>11.1</v>
      </c>
      <c r="H40">
        <v>27.2</v>
      </c>
      <c r="I40">
        <v>57</v>
      </c>
      <c r="J40">
        <v>6.7892000000000001</v>
      </c>
      <c r="K40">
        <v>156</v>
      </c>
      <c r="L40">
        <v>28.774100000000001</v>
      </c>
      <c r="M40">
        <v>57.113199999999999</v>
      </c>
      <c r="N40">
        <v>156.4796</v>
      </c>
      <c r="O40" t="s">
        <v>72</v>
      </c>
      <c r="P40" t="s">
        <v>73</v>
      </c>
      <c r="Q40" t="s">
        <v>75</v>
      </c>
      <c r="R40" t="s">
        <v>75</v>
      </c>
      <c r="S40" t="s">
        <v>75</v>
      </c>
      <c r="T40" t="s">
        <v>75</v>
      </c>
      <c r="U40" t="s">
        <v>75</v>
      </c>
      <c r="V40" s="13">
        <v>0.52777777777777779</v>
      </c>
    </row>
    <row r="41" spans="1:22" x14ac:dyDescent="0.25">
      <c r="A41" s="12">
        <v>44748</v>
      </c>
      <c r="B41">
        <v>387</v>
      </c>
      <c r="C41" t="s">
        <v>110</v>
      </c>
      <c r="D41" t="s">
        <v>36</v>
      </c>
      <c r="E41" t="s">
        <v>72</v>
      </c>
      <c r="F41" s="13">
        <v>0.52638888888888891</v>
      </c>
      <c r="G41">
        <v>9.8000000000000007</v>
      </c>
      <c r="H41">
        <v>25.3</v>
      </c>
      <c r="I41">
        <v>57</v>
      </c>
      <c r="J41">
        <v>2.9533</v>
      </c>
      <c r="K41">
        <v>156</v>
      </c>
      <c r="L41">
        <v>36.697200000000002</v>
      </c>
      <c r="M41">
        <v>57.049199999999999</v>
      </c>
      <c r="N41">
        <v>156.61160000000001</v>
      </c>
      <c r="O41" t="s">
        <v>72</v>
      </c>
      <c r="P41" t="s">
        <v>73</v>
      </c>
      <c r="Q41" t="s">
        <v>75</v>
      </c>
      <c r="R41" t="s">
        <v>74</v>
      </c>
      <c r="S41" t="s">
        <v>75</v>
      </c>
      <c r="T41" t="s">
        <v>74</v>
      </c>
      <c r="U41" t="s">
        <v>74</v>
      </c>
      <c r="V41" s="13">
        <v>0.58263888888888893</v>
      </c>
    </row>
    <row r="42" spans="1:22" x14ac:dyDescent="0.25">
      <c r="A42" s="12">
        <v>44748</v>
      </c>
      <c r="B42">
        <v>388</v>
      </c>
      <c r="C42" t="s">
        <v>111</v>
      </c>
      <c r="D42" t="s">
        <v>36</v>
      </c>
      <c r="E42" t="s">
        <v>71</v>
      </c>
      <c r="F42" s="13">
        <v>0.55138888888888893</v>
      </c>
      <c r="G42">
        <v>11.4</v>
      </c>
      <c r="H42">
        <v>22.2</v>
      </c>
      <c r="I42">
        <v>57</v>
      </c>
      <c r="J42">
        <v>2.875</v>
      </c>
      <c r="K42">
        <v>156</v>
      </c>
      <c r="L42">
        <v>36.721800000000002</v>
      </c>
      <c r="M42">
        <v>57.047899999999998</v>
      </c>
      <c r="N42">
        <v>156.61199999999999</v>
      </c>
      <c r="O42" t="s">
        <v>72</v>
      </c>
      <c r="P42" t="s">
        <v>73</v>
      </c>
      <c r="Q42" t="s">
        <v>75</v>
      </c>
      <c r="R42" t="s">
        <v>75</v>
      </c>
      <c r="S42" t="s">
        <v>74</v>
      </c>
      <c r="T42" t="s">
        <v>74</v>
      </c>
      <c r="U42" t="s">
        <v>74</v>
      </c>
      <c r="V42" s="13">
        <v>0.58263888888888893</v>
      </c>
    </row>
    <row r="43" spans="1:22" x14ac:dyDescent="0.25">
      <c r="A43" s="12">
        <v>44748</v>
      </c>
      <c r="B43">
        <v>389</v>
      </c>
      <c r="C43" t="s">
        <v>112</v>
      </c>
      <c r="D43" t="s">
        <v>36</v>
      </c>
      <c r="E43" t="s">
        <v>71</v>
      </c>
      <c r="F43" s="13">
        <v>0.56944444444444442</v>
      </c>
      <c r="G43">
        <v>11.5</v>
      </c>
      <c r="H43">
        <v>21.1</v>
      </c>
      <c r="I43">
        <v>57</v>
      </c>
      <c r="J43">
        <v>2.7858000000000001</v>
      </c>
      <c r="K43">
        <v>156</v>
      </c>
      <c r="L43">
        <v>36.791200000000003</v>
      </c>
      <c r="M43">
        <v>57.046399999999998</v>
      </c>
      <c r="N43">
        <v>156.61320000000001</v>
      </c>
      <c r="O43" t="s">
        <v>72</v>
      </c>
      <c r="P43" t="s">
        <v>73</v>
      </c>
      <c r="Q43" t="s">
        <v>75</v>
      </c>
      <c r="R43" t="s">
        <v>75</v>
      </c>
      <c r="S43" t="s">
        <v>74</v>
      </c>
      <c r="T43" t="s">
        <v>74</v>
      </c>
      <c r="U43" t="s">
        <v>74</v>
      </c>
      <c r="V43" s="13">
        <v>0.58263888888888893</v>
      </c>
    </row>
    <row r="44" spans="1:22" x14ac:dyDescent="0.25">
      <c r="A44" s="12">
        <v>44748</v>
      </c>
      <c r="B44">
        <v>390</v>
      </c>
      <c r="C44" t="s">
        <v>113</v>
      </c>
      <c r="D44" t="s">
        <v>36</v>
      </c>
      <c r="E44" t="s">
        <v>71</v>
      </c>
      <c r="F44" s="13">
        <v>0.61111111111111116</v>
      </c>
      <c r="G44">
        <v>12.1</v>
      </c>
      <c r="H44">
        <v>21.1</v>
      </c>
      <c r="I44">
        <v>57</v>
      </c>
      <c r="J44">
        <v>3.5325000000000002</v>
      </c>
      <c r="K44">
        <v>156</v>
      </c>
      <c r="L44">
        <v>37.364100000000001</v>
      </c>
      <c r="M44">
        <v>57.058900000000001</v>
      </c>
      <c r="N44">
        <v>156.62270000000001</v>
      </c>
      <c r="O44" t="s">
        <v>72</v>
      </c>
      <c r="P44" t="s">
        <v>73</v>
      </c>
      <c r="Q44" t="s">
        <v>75</v>
      </c>
      <c r="R44" t="s">
        <v>75</v>
      </c>
      <c r="S44" t="s">
        <v>75</v>
      </c>
      <c r="T44" t="s">
        <v>74</v>
      </c>
      <c r="U44" t="s">
        <v>74</v>
      </c>
      <c r="V44" s="13">
        <v>0.58263888888888893</v>
      </c>
    </row>
    <row r="45" spans="1:22" x14ac:dyDescent="0.25">
      <c r="A45" s="12">
        <v>44750</v>
      </c>
      <c r="B45">
        <v>391</v>
      </c>
      <c r="C45" t="s">
        <v>114</v>
      </c>
      <c r="D45" t="s">
        <v>37</v>
      </c>
      <c r="E45" t="s">
        <v>71</v>
      </c>
      <c r="F45" s="13">
        <v>0.58402777777777781</v>
      </c>
      <c r="G45">
        <v>11.9</v>
      </c>
      <c r="H45">
        <v>30.3</v>
      </c>
      <c r="I45">
        <v>55</v>
      </c>
      <c r="J45">
        <v>58.683900000000001</v>
      </c>
      <c r="K45">
        <v>158</v>
      </c>
      <c r="L45">
        <v>42.912199999999999</v>
      </c>
      <c r="M45">
        <v>55.978099999999998</v>
      </c>
      <c r="N45">
        <v>158.71520000000001</v>
      </c>
      <c r="O45" t="s">
        <v>72</v>
      </c>
      <c r="P45" t="s">
        <v>115</v>
      </c>
      <c r="Q45" t="s">
        <v>74</v>
      </c>
      <c r="R45" t="s">
        <v>75</v>
      </c>
      <c r="S45" t="s">
        <v>74</v>
      </c>
      <c r="T45" t="s">
        <v>75</v>
      </c>
      <c r="U45" t="s">
        <v>75</v>
      </c>
      <c r="V45" s="13">
        <v>0.65902777777777777</v>
      </c>
    </row>
    <row r="46" spans="1:22" x14ac:dyDescent="0.25">
      <c r="A46" s="12">
        <v>44750</v>
      </c>
      <c r="B46">
        <v>392</v>
      </c>
      <c r="C46" t="s">
        <v>116</v>
      </c>
      <c r="D46" t="s">
        <v>37</v>
      </c>
      <c r="E46" t="s">
        <v>71</v>
      </c>
      <c r="F46" s="13">
        <v>0.59930555555555554</v>
      </c>
      <c r="G46">
        <v>12.9</v>
      </c>
      <c r="H46">
        <v>30.3</v>
      </c>
      <c r="I46">
        <v>55</v>
      </c>
      <c r="J46">
        <v>58.803600000000003</v>
      </c>
      <c r="K46">
        <v>158</v>
      </c>
      <c r="L46">
        <v>42.8279</v>
      </c>
      <c r="M46">
        <v>55.9801</v>
      </c>
      <c r="N46">
        <v>158.71379999999999</v>
      </c>
      <c r="O46" t="s">
        <v>72</v>
      </c>
      <c r="P46" t="s">
        <v>115</v>
      </c>
      <c r="Q46" t="s">
        <v>74</v>
      </c>
      <c r="R46" t="s">
        <v>75</v>
      </c>
      <c r="S46" t="s">
        <v>74</v>
      </c>
      <c r="T46" t="s">
        <v>75</v>
      </c>
      <c r="U46" t="s">
        <v>75</v>
      </c>
      <c r="V46" s="13">
        <v>0.65902777777777777</v>
      </c>
    </row>
    <row r="47" spans="1:22" x14ac:dyDescent="0.25">
      <c r="A47" s="12">
        <v>44750</v>
      </c>
      <c r="B47">
        <v>393</v>
      </c>
      <c r="C47" t="s">
        <v>117</v>
      </c>
      <c r="D47" t="s">
        <v>37</v>
      </c>
      <c r="E47" t="s">
        <v>71</v>
      </c>
      <c r="F47" s="13">
        <v>0.6166666666666667</v>
      </c>
      <c r="G47">
        <v>13.1</v>
      </c>
      <c r="H47">
        <v>29.9</v>
      </c>
      <c r="I47">
        <v>55</v>
      </c>
      <c r="J47">
        <v>58.722099999999998</v>
      </c>
      <c r="K47">
        <v>158</v>
      </c>
      <c r="L47">
        <v>42.633899999999997</v>
      </c>
      <c r="M47">
        <v>55.978700000000003</v>
      </c>
      <c r="N47">
        <v>158.7106</v>
      </c>
      <c r="O47" t="s">
        <v>72</v>
      </c>
      <c r="P47" t="s">
        <v>115</v>
      </c>
      <c r="Q47" t="s">
        <v>74</v>
      </c>
      <c r="R47" t="s">
        <v>75</v>
      </c>
      <c r="S47" t="s">
        <v>74</v>
      </c>
      <c r="T47" t="s">
        <v>75</v>
      </c>
      <c r="U47" t="s">
        <v>75</v>
      </c>
      <c r="V47" s="13">
        <v>0.65902777777777777</v>
      </c>
    </row>
    <row r="48" spans="1:22" x14ac:dyDescent="0.25">
      <c r="A48" s="12">
        <v>44750</v>
      </c>
      <c r="B48">
        <v>394</v>
      </c>
      <c r="C48" t="s">
        <v>118</v>
      </c>
      <c r="D48" t="s">
        <v>37</v>
      </c>
      <c r="E48" t="s">
        <v>71</v>
      </c>
      <c r="F48" s="13">
        <v>0.64444444444444449</v>
      </c>
      <c r="G48">
        <v>14.3</v>
      </c>
      <c r="H48">
        <v>30.1</v>
      </c>
      <c r="I48">
        <v>55</v>
      </c>
      <c r="J48">
        <v>58.920699999999997</v>
      </c>
      <c r="K48">
        <v>158</v>
      </c>
      <c r="L48">
        <v>42.706299999999999</v>
      </c>
      <c r="M48">
        <v>55.981999999999999</v>
      </c>
      <c r="N48">
        <v>158.71180000000001</v>
      </c>
      <c r="O48" t="s">
        <v>72</v>
      </c>
      <c r="P48" t="s">
        <v>115</v>
      </c>
      <c r="Q48" t="s">
        <v>75</v>
      </c>
      <c r="R48" t="s">
        <v>75</v>
      </c>
      <c r="S48" t="s">
        <v>75</v>
      </c>
      <c r="T48" t="s">
        <v>74</v>
      </c>
      <c r="U48" t="s">
        <v>75</v>
      </c>
      <c r="V48" s="13">
        <v>0.65902777777777777</v>
      </c>
    </row>
    <row r="49" spans="1:22" x14ac:dyDescent="0.25">
      <c r="A49" s="12">
        <v>44750</v>
      </c>
      <c r="B49">
        <v>395</v>
      </c>
      <c r="C49" t="s">
        <v>119</v>
      </c>
      <c r="D49" t="s">
        <v>37</v>
      </c>
      <c r="E49" t="s">
        <v>71</v>
      </c>
      <c r="F49" s="13">
        <v>0.6694444444444444</v>
      </c>
      <c r="G49">
        <v>14.5</v>
      </c>
      <c r="H49">
        <v>28.4</v>
      </c>
      <c r="I49">
        <v>55</v>
      </c>
      <c r="J49">
        <v>58.913800000000002</v>
      </c>
      <c r="K49">
        <v>158</v>
      </c>
      <c r="L49">
        <v>41.789200000000001</v>
      </c>
      <c r="M49">
        <v>55.981900000000003</v>
      </c>
      <c r="N49">
        <v>158.69649999999999</v>
      </c>
      <c r="O49" t="s">
        <v>72</v>
      </c>
      <c r="P49" t="s">
        <v>120</v>
      </c>
      <c r="Q49" t="s">
        <v>75</v>
      </c>
      <c r="R49" t="s">
        <v>75</v>
      </c>
      <c r="S49" t="s">
        <v>75</v>
      </c>
      <c r="T49" t="s">
        <v>74</v>
      </c>
      <c r="U49" t="s">
        <v>75</v>
      </c>
      <c r="V49" s="13">
        <v>0.65902777777777777</v>
      </c>
    </row>
    <row r="50" spans="1:22" x14ac:dyDescent="0.25">
      <c r="A50" s="12">
        <v>44750</v>
      </c>
      <c r="B50">
        <v>396</v>
      </c>
      <c r="C50" t="s">
        <v>121</v>
      </c>
      <c r="D50" t="s">
        <v>37</v>
      </c>
      <c r="E50" t="s">
        <v>71</v>
      </c>
      <c r="F50" s="13">
        <v>0.68958333333333333</v>
      </c>
      <c r="G50">
        <v>12.5</v>
      </c>
      <c r="H50">
        <v>30.1</v>
      </c>
      <c r="I50">
        <v>55</v>
      </c>
      <c r="J50">
        <v>58.720999999999997</v>
      </c>
      <c r="K50">
        <v>158</v>
      </c>
      <c r="L50">
        <v>42.247199999999999</v>
      </c>
      <c r="M50">
        <v>55.978700000000003</v>
      </c>
      <c r="N50">
        <v>158.70410000000001</v>
      </c>
      <c r="O50" t="s">
        <v>72</v>
      </c>
      <c r="P50" t="s">
        <v>73</v>
      </c>
      <c r="Q50" t="s">
        <v>75</v>
      </c>
      <c r="R50" t="s">
        <v>75</v>
      </c>
      <c r="S50" t="s">
        <v>75</v>
      </c>
      <c r="T50" t="s">
        <v>75</v>
      </c>
      <c r="U50" t="s">
        <v>75</v>
      </c>
      <c r="V50" s="13">
        <v>0.65902777777777777</v>
      </c>
    </row>
    <row r="51" spans="1:22" x14ac:dyDescent="0.25">
      <c r="A51" s="12">
        <v>44752</v>
      </c>
      <c r="B51">
        <v>397</v>
      </c>
      <c r="C51" t="s">
        <v>122</v>
      </c>
      <c r="D51" t="s">
        <v>38</v>
      </c>
      <c r="E51" t="s">
        <v>71</v>
      </c>
      <c r="F51" s="13">
        <v>0.26250000000000001</v>
      </c>
      <c r="G51">
        <v>13.7</v>
      </c>
      <c r="H51">
        <v>30.8</v>
      </c>
      <c r="I51">
        <v>55</v>
      </c>
      <c r="J51">
        <v>36.980400000000003</v>
      </c>
      <c r="K51">
        <v>159</v>
      </c>
      <c r="L51">
        <v>39.183799999999998</v>
      </c>
      <c r="M51">
        <v>55.616300000000003</v>
      </c>
      <c r="N51">
        <v>159.65309999999999</v>
      </c>
      <c r="O51" t="s">
        <v>72</v>
      </c>
      <c r="P51" t="s">
        <v>73</v>
      </c>
      <c r="Q51" t="s">
        <v>75</v>
      </c>
      <c r="R51" t="s">
        <v>75</v>
      </c>
      <c r="S51" t="s">
        <v>75</v>
      </c>
      <c r="T51" t="s">
        <v>75</v>
      </c>
      <c r="U51" t="s">
        <v>75</v>
      </c>
      <c r="V51" s="13">
        <v>0.26874999999999999</v>
      </c>
    </row>
    <row r="52" spans="1:22" x14ac:dyDescent="0.25">
      <c r="A52" s="12">
        <v>44752</v>
      </c>
      <c r="B52">
        <v>398</v>
      </c>
      <c r="C52" t="s">
        <v>123</v>
      </c>
      <c r="D52" t="s">
        <v>38</v>
      </c>
      <c r="E52" t="s">
        <v>71</v>
      </c>
      <c r="F52" s="13">
        <v>0.28194444444444444</v>
      </c>
      <c r="G52">
        <v>14</v>
      </c>
      <c r="H52">
        <v>30.9</v>
      </c>
      <c r="I52">
        <v>55</v>
      </c>
      <c r="J52">
        <v>36.709600000000002</v>
      </c>
      <c r="K52">
        <v>159</v>
      </c>
      <c r="L52">
        <v>38.517499999999998</v>
      </c>
      <c r="M52">
        <v>55.611800000000002</v>
      </c>
      <c r="N52">
        <v>159.642</v>
      </c>
      <c r="O52" t="s">
        <v>72</v>
      </c>
      <c r="P52" t="s">
        <v>73</v>
      </c>
      <c r="Q52" t="s">
        <v>75</v>
      </c>
      <c r="R52" t="s">
        <v>75</v>
      </c>
      <c r="S52" t="s">
        <v>75</v>
      </c>
      <c r="T52" t="s">
        <v>75</v>
      </c>
      <c r="U52" t="s">
        <v>74</v>
      </c>
      <c r="V52" s="13">
        <v>0.26874999999999999</v>
      </c>
    </row>
    <row r="53" spans="1:22" x14ac:dyDescent="0.25">
      <c r="A53" s="12">
        <v>44752</v>
      </c>
      <c r="B53">
        <v>399</v>
      </c>
      <c r="C53" t="s">
        <v>124</v>
      </c>
      <c r="D53" t="s">
        <v>38</v>
      </c>
      <c r="E53" t="s">
        <v>71</v>
      </c>
      <c r="F53" s="13">
        <v>0.29930555555555555</v>
      </c>
      <c r="G53">
        <v>13</v>
      </c>
      <c r="H53">
        <v>31</v>
      </c>
      <c r="I53">
        <v>55</v>
      </c>
      <c r="J53">
        <v>36.560299999999998</v>
      </c>
      <c r="K53">
        <v>159</v>
      </c>
      <c r="L53">
        <v>38.229399999999998</v>
      </c>
      <c r="M53">
        <v>55.609299999999998</v>
      </c>
      <c r="N53">
        <v>159.63720000000001</v>
      </c>
      <c r="O53" t="s">
        <v>72</v>
      </c>
      <c r="P53" t="s">
        <v>73</v>
      </c>
      <c r="Q53" t="s">
        <v>75</v>
      </c>
      <c r="R53" t="s">
        <v>75</v>
      </c>
      <c r="S53" t="s">
        <v>75</v>
      </c>
      <c r="T53" t="s">
        <v>75</v>
      </c>
      <c r="U53" t="s">
        <v>74</v>
      </c>
      <c r="V53" s="13">
        <v>0.26874999999999999</v>
      </c>
    </row>
    <row r="54" spans="1:22" x14ac:dyDescent="0.25">
      <c r="A54" s="12">
        <v>44752</v>
      </c>
      <c r="B54">
        <v>400</v>
      </c>
      <c r="C54" t="s">
        <v>125</v>
      </c>
      <c r="D54" t="s">
        <v>38</v>
      </c>
      <c r="E54" t="s">
        <v>71</v>
      </c>
      <c r="F54" s="13">
        <v>0.32361111111111113</v>
      </c>
      <c r="G54">
        <v>14.2</v>
      </c>
      <c r="H54">
        <v>29.3</v>
      </c>
      <c r="I54">
        <v>55</v>
      </c>
      <c r="J54">
        <v>36.499600000000001</v>
      </c>
      <c r="K54">
        <v>159</v>
      </c>
      <c r="L54">
        <v>37.828800000000001</v>
      </c>
      <c r="M54">
        <v>55.6083</v>
      </c>
      <c r="N54">
        <v>159.63050000000001</v>
      </c>
      <c r="O54" t="s">
        <v>72</v>
      </c>
      <c r="P54" t="s">
        <v>73</v>
      </c>
      <c r="Q54" t="s">
        <v>75</v>
      </c>
      <c r="R54" t="s">
        <v>75</v>
      </c>
      <c r="S54" t="s">
        <v>74</v>
      </c>
      <c r="T54" t="s">
        <v>75</v>
      </c>
      <c r="U54" t="s">
        <v>74</v>
      </c>
      <c r="V54" s="13">
        <v>0.26874999999999999</v>
      </c>
    </row>
    <row r="55" spans="1:22" x14ac:dyDescent="0.25">
      <c r="A55" s="12">
        <v>44752</v>
      </c>
      <c r="B55">
        <v>401</v>
      </c>
      <c r="C55" t="s">
        <v>126</v>
      </c>
      <c r="D55" t="s">
        <v>38</v>
      </c>
      <c r="E55" t="s">
        <v>71</v>
      </c>
      <c r="F55" s="13">
        <v>0.34444444444444444</v>
      </c>
      <c r="G55">
        <v>13.7</v>
      </c>
      <c r="H55">
        <v>30.6</v>
      </c>
      <c r="I55">
        <v>55</v>
      </c>
      <c r="J55">
        <v>36.494199999999999</v>
      </c>
      <c r="K55">
        <v>159</v>
      </c>
      <c r="L55">
        <v>37.924300000000002</v>
      </c>
      <c r="M55">
        <v>55.608199999999997</v>
      </c>
      <c r="N55">
        <v>159.63210000000001</v>
      </c>
      <c r="O55" t="s">
        <v>72</v>
      </c>
      <c r="P55" t="s">
        <v>73</v>
      </c>
      <c r="Q55" t="s">
        <v>74</v>
      </c>
      <c r="R55" t="s">
        <v>75</v>
      </c>
      <c r="S55" t="s">
        <v>75</v>
      </c>
      <c r="T55" t="s">
        <v>74</v>
      </c>
      <c r="U55" t="s">
        <v>75</v>
      </c>
      <c r="V55" s="13">
        <v>0.26874999999999999</v>
      </c>
    </row>
    <row r="56" spans="1:22" x14ac:dyDescent="0.25">
      <c r="A56" s="12">
        <v>44754</v>
      </c>
      <c r="B56">
        <v>402</v>
      </c>
      <c r="C56" t="s">
        <v>127</v>
      </c>
      <c r="D56" t="s">
        <v>39</v>
      </c>
      <c r="E56" t="s">
        <v>71</v>
      </c>
      <c r="F56" s="13">
        <v>0.31458333333333333</v>
      </c>
      <c r="G56">
        <v>11.4</v>
      </c>
      <c r="H56">
        <v>30.5</v>
      </c>
      <c r="I56">
        <v>55</v>
      </c>
      <c r="J56">
        <v>34.679499999999997</v>
      </c>
      <c r="K56">
        <v>160</v>
      </c>
      <c r="L56">
        <v>35.769500000000001</v>
      </c>
      <c r="M56">
        <v>55.578000000000003</v>
      </c>
      <c r="N56">
        <v>160.59620000000001</v>
      </c>
      <c r="O56" t="s">
        <v>72</v>
      </c>
      <c r="P56" t="s">
        <v>128</v>
      </c>
      <c r="Q56" t="s">
        <v>74</v>
      </c>
      <c r="R56" t="s">
        <v>75</v>
      </c>
      <c r="S56" t="s">
        <v>74</v>
      </c>
      <c r="T56" t="s">
        <v>75</v>
      </c>
      <c r="U56" t="s">
        <v>75</v>
      </c>
      <c r="V56" s="13">
        <v>0.35138888888888886</v>
      </c>
    </row>
    <row r="57" spans="1:22" x14ac:dyDescent="0.25">
      <c r="A57" s="12">
        <v>44754</v>
      </c>
      <c r="B57">
        <v>403</v>
      </c>
      <c r="C57" t="s">
        <v>129</v>
      </c>
      <c r="D57" t="s">
        <v>39</v>
      </c>
      <c r="E57" t="s">
        <v>71</v>
      </c>
      <c r="F57" s="13">
        <v>0.34166666666666667</v>
      </c>
      <c r="G57">
        <v>11.4</v>
      </c>
      <c r="H57">
        <v>30.4</v>
      </c>
      <c r="I57">
        <v>55</v>
      </c>
      <c r="J57">
        <v>34.652799999999999</v>
      </c>
      <c r="K57">
        <v>160</v>
      </c>
      <c r="L57">
        <v>35.888500000000001</v>
      </c>
      <c r="M57">
        <v>55.577500000000001</v>
      </c>
      <c r="N57">
        <v>160.59809999999999</v>
      </c>
      <c r="O57" t="s">
        <v>72</v>
      </c>
      <c r="P57" t="s">
        <v>73</v>
      </c>
      <c r="Q57" t="s">
        <v>75</v>
      </c>
      <c r="R57" t="s">
        <v>75</v>
      </c>
      <c r="S57" t="s">
        <v>74</v>
      </c>
      <c r="T57" t="s">
        <v>75</v>
      </c>
      <c r="U57" t="s">
        <v>74</v>
      </c>
      <c r="V57" s="13">
        <v>0.35138888888888886</v>
      </c>
    </row>
    <row r="58" spans="1:22" x14ac:dyDescent="0.25">
      <c r="A58" s="12">
        <v>44754</v>
      </c>
      <c r="B58">
        <v>404</v>
      </c>
      <c r="C58" t="s">
        <v>130</v>
      </c>
      <c r="D58" t="s">
        <v>39</v>
      </c>
      <c r="E58" t="s">
        <v>71</v>
      </c>
      <c r="F58" s="13">
        <v>0.36666666666666664</v>
      </c>
      <c r="G58">
        <v>11.4</v>
      </c>
      <c r="H58">
        <v>30.7</v>
      </c>
      <c r="I58">
        <v>55</v>
      </c>
      <c r="J58">
        <v>34.646299999999997</v>
      </c>
      <c r="K58">
        <v>160</v>
      </c>
      <c r="L58">
        <v>36.908499999999997</v>
      </c>
      <c r="M58">
        <v>55.577399999999997</v>
      </c>
      <c r="N58">
        <v>160.61510000000001</v>
      </c>
      <c r="O58" t="s">
        <v>72</v>
      </c>
      <c r="P58" t="s">
        <v>73</v>
      </c>
      <c r="Q58" t="s">
        <v>75</v>
      </c>
      <c r="R58" t="s">
        <v>74</v>
      </c>
      <c r="S58" t="s">
        <v>74</v>
      </c>
      <c r="T58" t="s">
        <v>74</v>
      </c>
      <c r="U58" t="s">
        <v>75</v>
      </c>
      <c r="V58" s="13">
        <v>0.35138888888888886</v>
      </c>
    </row>
    <row r="59" spans="1:22" x14ac:dyDescent="0.25">
      <c r="A59" s="12">
        <v>44754</v>
      </c>
      <c r="B59">
        <v>405</v>
      </c>
      <c r="C59" t="s">
        <v>131</v>
      </c>
      <c r="D59" t="s">
        <v>39</v>
      </c>
      <c r="E59" t="s">
        <v>71</v>
      </c>
      <c r="F59" s="13">
        <v>0.39652777777777776</v>
      </c>
      <c r="G59">
        <v>11.8</v>
      </c>
      <c r="H59">
        <v>28.8</v>
      </c>
      <c r="I59">
        <v>55</v>
      </c>
      <c r="J59">
        <v>35.085099999999997</v>
      </c>
      <c r="K59">
        <v>160</v>
      </c>
      <c r="L59">
        <v>36.867800000000003</v>
      </c>
      <c r="M59">
        <v>55.584800000000001</v>
      </c>
      <c r="N59">
        <v>160.61449999999999</v>
      </c>
      <c r="O59" t="s">
        <v>72</v>
      </c>
      <c r="P59" t="s">
        <v>73</v>
      </c>
      <c r="Q59" t="s">
        <v>75</v>
      </c>
      <c r="R59" t="s">
        <v>75</v>
      </c>
      <c r="S59" t="s">
        <v>75</v>
      </c>
      <c r="T59" t="s">
        <v>75</v>
      </c>
      <c r="U59" t="s">
        <v>75</v>
      </c>
      <c r="V59" s="13">
        <v>0.35138888888888886</v>
      </c>
    </row>
    <row r="60" spans="1:22" x14ac:dyDescent="0.25">
      <c r="A60" s="12">
        <v>44756</v>
      </c>
      <c r="B60">
        <v>406</v>
      </c>
      <c r="C60" t="s">
        <v>132</v>
      </c>
      <c r="D60" t="s">
        <v>44</v>
      </c>
      <c r="E60" t="s">
        <v>71</v>
      </c>
      <c r="F60" s="13">
        <v>0.34375</v>
      </c>
      <c r="G60">
        <v>12.4</v>
      </c>
      <c r="H60">
        <v>31.3</v>
      </c>
      <c r="I60">
        <v>55</v>
      </c>
      <c r="J60">
        <v>4.1387</v>
      </c>
      <c r="K60">
        <v>160</v>
      </c>
      <c r="L60">
        <v>7.7793000000000001</v>
      </c>
      <c r="M60">
        <v>55.069000000000003</v>
      </c>
      <c r="N60">
        <v>160.12970000000001</v>
      </c>
      <c r="O60" t="s">
        <v>72</v>
      </c>
      <c r="P60" t="s">
        <v>73</v>
      </c>
      <c r="Q60" t="s">
        <v>74</v>
      </c>
      <c r="R60" t="s">
        <v>75</v>
      </c>
      <c r="S60" t="s">
        <v>74</v>
      </c>
      <c r="T60" t="s">
        <v>75</v>
      </c>
      <c r="U60" t="s">
        <v>75</v>
      </c>
      <c r="V60" s="13">
        <v>0.4152777777777778</v>
      </c>
    </row>
    <row r="61" spans="1:22" x14ac:dyDescent="0.25">
      <c r="A61" s="12">
        <v>44756</v>
      </c>
      <c r="B61">
        <v>407</v>
      </c>
      <c r="C61" t="s">
        <v>133</v>
      </c>
      <c r="D61" t="s">
        <v>44</v>
      </c>
      <c r="E61" t="s">
        <v>71</v>
      </c>
      <c r="F61" s="13">
        <v>0.37083333333333335</v>
      </c>
      <c r="G61">
        <v>12.4</v>
      </c>
      <c r="H61">
        <v>31.4</v>
      </c>
      <c r="I61">
        <v>55</v>
      </c>
      <c r="J61">
        <v>4.0152000000000001</v>
      </c>
      <c r="K61">
        <v>160</v>
      </c>
      <c r="L61">
        <v>7.5940000000000003</v>
      </c>
      <c r="M61">
        <v>55.066899999999997</v>
      </c>
      <c r="N61">
        <v>160.1266</v>
      </c>
      <c r="O61" t="s">
        <v>72</v>
      </c>
      <c r="P61" t="s">
        <v>73</v>
      </c>
      <c r="Q61" t="s">
        <v>75</v>
      </c>
      <c r="R61" t="s">
        <v>75</v>
      </c>
      <c r="S61" t="s">
        <v>75</v>
      </c>
      <c r="T61" t="s">
        <v>75</v>
      </c>
      <c r="U61" t="s">
        <v>74</v>
      </c>
      <c r="V61" s="13">
        <v>0.4152777777777778</v>
      </c>
    </row>
    <row r="62" spans="1:22" x14ac:dyDescent="0.25">
      <c r="A62" s="12">
        <v>44756</v>
      </c>
      <c r="B62">
        <v>408</v>
      </c>
      <c r="C62" t="s">
        <v>134</v>
      </c>
      <c r="D62" t="s">
        <v>44</v>
      </c>
      <c r="E62" t="s">
        <v>71</v>
      </c>
      <c r="F62" s="13">
        <v>0.39166666666666666</v>
      </c>
      <c r="G62">
        <v>12.5</v>
      </c>
      <c r="H62">
        <v>30.4</v>
      </c>
      <c r="I62">
        <v>55</v>
      </c>
      <c r="J62">
        <v>3.8361000000000001</v>
      </c>
      <c r="K62">
        <v>160</v>
      </c>
      <c r="L62">
        <v>7.0594000000000001</v>
      </c>
      <c r="M62">
        <v>55.063899999999997</v>
      </c>
      <c r="N62">
        <v>160.11770000000001</v>
      </c>
      <c r="O62" t="s">
        <v>72</v>
      </c>
      <c r="P62" t="s">
        <v>73</v>
      </c>
      <c r="Q62" t="s">
        <v>74</v>
      </c>
      <c r="R62" t="s">
        <v>75</v>
      </c>
      <c r="S62" t="s">
        <v>74</v>
      </c>
      <c r="T62" t="s">
        <v>75</v>
      </c>
      <c r="U62" t="s">
        <v>74</v>
      </c>
      <c r="V62" s="13">
        <v>0.4152777777777778</v>
      </c>
    </row>
    <row r="63" spans="1:22" x14ac:dyDescent="0.25">
      <c r="A63" s="12">
        <v>44756</v>
      </c>
      <c r="B63">
        <v>409</v>
      </c>
      <c r="C63" t="s">
        <v>135</v>
      </c>
      <c r="D63" t="s">
        <v>44</v>
      </c>
      <c r="E63" t="s">
        <v>71</v>
      </c>
      <c r="F63" s="13">
        <v>0.42569444444444443</v>
      </c>
      <c r="G63">
        <v>12.9</v>
      </c>
      <c r="H63">
        <v>30.6</v>
      </c>
      <c r="I63">
        <v>55</v>
      </c>
      <c r="J63">
        <v>4.1087999999999996</v>
      </c>
      <c r="K63">
        <v>160</v>
      </c>
      <c r="L63">
        <v>6.7591000000000001</v>
      </c>
      <c r="M63">
        <v>55.0685</v>
      </c>
      <c r="N63">
        <v>160.11269999999999</v>
      </c>
      <c r="O63" t="s">
        <v>72</v>
      </c>
      <c r="P63" t="s">
        <v>73</v>
      </c>
      <c r="Q63" t="s">
        <v>75</v>
      </c>
      <c r="R63" t="s">
        <v>75</v>
      </c>
      <c r="S63" t="s">
        <v>74</v>
      </c>
      <c r="T63" t="s">
        <v>75</v>
      </c>
      <c r="U63" t="s">
        <v>74</v>
      </c>
      <c r="V63" s="13">
        <v>0.4152777777777778</v>
      </c>
    </row>
    <row r="64" spans="1:22" x14ac:dyDescent="0.25">
      <c r="A64" s="12">
        <v>44756</v>
      </c>
      <c r="B64">
        <v>410</v>
      </c>
      <c r="C64" t="s">
        <v>136</v>
      </c>
      <c r="D64" t="s">
        <v>44</v>
      </c>
      <c r="E64" t="s">
        <v>71</v>
      </c>
      <c r="F64" s="13">
        <v>0.46388888888888891</v>
      </c>
      <c r="G64">
        <v>13</v>
      </c>
      <c r="H64">
        <v>30.4</v>
      </c>
      <c r="I64">
        <v>55</v>
      </c>
      <c r="J64">
        <v>4.1515000000000004</v>
      </c>
      <c r="K64">
        <v>160</v>
      </c>
      <c r="L64">
        <v>6.8140999999999998</v>
      </c>
      <c r="M64">
        <v>55.069200000000002</v>
      </c>
      <c r="N64">
        <v>160.11359999999999</v>
      </c>
      <c r="O64" t="s">
        <v>72</v>
      </c>
      <c r="P64" t="s">
        <v>137</v>
      </c>
      <c r="Q64" t="s">
        <v>75</v>
      </c>
      <c r="R64" t="s">
        <v>74</v>
      </c>
      <c r="S64" t="s">
        <v>74</v>
      </c>
      <c r="T64" t="s">
        <v>75</v>
      </c>
      <c r="U64" t="s">
        <v>74</v>
      </c>
      <c r="V64" s="13">
        <v>0.4152777777777778</v>
      </c>
    </row>
    <row r="65" spans="1:22" x14ac:dyDescent="0.25">
      <c r="A65" s="12">
        <v>44757</v>
      </c>
      <c r="B65">
        <v>411</v>
      </c>
      <c r="C65" t="s">
        <v>138</v>
      </c>
      <c r="D65" t="s">
        <v>40</v>
      </c>
      <c r="E65" t="s">
        <v>71</v>
      </c>
      <c r="F65" s="13">
        <v>0.38055555555555554</v>
      </c>
      <c r="G65">
        <v>10.9</v>
      </c>
      <c r="H65">
        <v>31.5</v>
      </c>
      <c r="I65">
        <v>55</v>
      </c>
      <c r="J65">
        <v>13.8231</v>
      </c>
      <c r="K65">
        <v>160</v>
      </c>
      <c r="L65">
        <v>32.901200000000003</v>
      </c>
      <c r="M65">
        <v>55.230400000000003</v>
      </c>
      <c r="N65">
        <v>160.54839999999999</v>
      </c>
      <c r="O65" t="s">
        <v>72</v>
      </c>
      <c r="P65" t="s">
        <v>73</v>
      </c>
      <c r="Q65" t="s">
        <v>75</v>
      </c>
      <c r="R65" t="s">
        <v>75</v>
      </c>
      <c r="S65" t="s">
        <v>75</v>
      </c>
      <c r="T65" t="s">
        <v>75</v>
      </c>
      <c r="U65" t="s">
        <v>75</v>
      </c>
      <c r="V65" s="13">
        <v>0.45</v>
      </c>
    </row>
    <row r="66" spans="1:22" x14ac:dyDescent="0.25">
      <c r="A66" s="12">
        <v>44757</v>
      </c>
      <c r="B66">
        <v>412</v>
      </c>
      <c r="C66" t="s">
        <v>139</v>
      </c>
      <c r="D66" t="s">
        <v>40</v>
      </c>
      <c r="E66" t="s">
        <v>71</v>
      </c>
      <c r="F66" s="13">
        <v>0.41944444444444445</v>
      </c>
      <c r="G66">
        <v>11.1</v>
      </c>
      <c r="H66">
        <v>31.5</v>
      </c>
      <c r="I66">
        <v>55</v>
      </c>
      <c r="J66">
        <v>13.7569</v>
      </c>
      <c r="K66">
        <v>160</v>
      </c>
      <c r="L66">
        <v>33.092799999999997</v>
      </c>
      <c r="M66">
        <v>55.229300000000002</v>
      </c>
      <c r="N66">
        <v>160.5515</v>
      </c>
      <c r="O66" t="s">
        <v>72</v>
      </c>
      <c r="P66" t="s">
        <v>73</v>
      </c>
      <c r="Q66" t="s">
        <v>74</v>
      </c>
      <c r="R66" t="s">
        <v>75</v>
      </c>
      <c r="S66" t="s">
        <v>75</v>
      </c>
      <c r="T66" t="s">
        <v>74</v>
      </c>
      <c r="U66" t="s">
        <v>75</v>
      </c>
      <c r="V66" s="13">
        <v>0.45</v>
      </c>
    </row>
    <row r="67" spans="1:22" x14ac:dyDescent="0.25">
      <c r="A67" s="12">
        <v>44757</v>
      </c>
      <c r="B67">
        <v>413</v>
      </c>
      <c r="C67" t="s">
        <v>140</v>
      </c>
      <c r="D67" t="s">
        <v>40</v>
      </c>
      <c r="E67" t="s">
        <v>71</v>
      </c>
      <c r="F67" s="13">
        <v>0.46041666666666664</v>
      </c>
      <c r="G67">
        <v>10.6</v>
      </c>
      <c r="H67">
        <v>31.8</v>
      </c>
      <c r="I67">
        <v>55</v>
      </c>
      <c r="J67">
        <v>13.7577</v>
      </c>
      <c r="K67">
        <v>160</v>
      </c>
      <c r="L67">
        <v>33.7316</v>
      </c>
      <c r="M67">
        <v>55.229300000000002</v>
      </c>
      <c r="N67">
        <v>160.56219999999999</v>
      </c>
      <c r="O67" t="s">
        <v>72</v>
      </c>
      <c r="P67" t="s">
        <v>73</v>
      </c>
      <c r="Q67" t="s">
        <v>75</v>
      </c>
      <c r="R67" t="s">
        <v>75</v>
      </c>
      <c r="S67" t="s">
        <v>74</v>
      </c>
      <c r="T67" t="s">
        <v>75</v>
      </c>
      <c r="U67" t="s">
        <v>75</v>
      </c>
      <c r="V67" s="13">
        <v>0.45</v>
      </c>
    </row>
    <row r="68" spans="1:22" x14ac:dyDescent="0.25">
      <c r="A68" s="12">
        <v>44757</v>
      </c>
      <c r="B68">
        <v>414</v>
      </c>
      <c r="C68" t="s">
        <v>141</v>
      </c>
      <c r="D68" t="s">
        <v>40</v>
      </c>
      <c r="E68" t="s">
        <v>71</v>
      </c>
      <c r="F68" s="13">
        <v>0.49305555555555558</v>
      </c>
      <c r="G68">
        <v>10.8</v>
      </c>
      <c r="H68">
        <v>31.4</v>
      </c>
      <c r="I68">
        <v>55</v>
      </c>
      <c r="J68">
        <v>13.7698</v>
      </c>
      <c r="K68">
        <v>160</v>
      </c>
      <c r="L68">
        <v>33.875700000000002</v>
      </c>
      <c r="M68">
        <v>55.229500000000002</v>
      </c>
      <c r="N68">
        <v>160.56460000000001</v>
      </c>
      <c r="O68" t="s">
        <v>72</v>
      </c>
      <c r="P68" t="s">
        <v>73</v>
      </c>
      <c r="Q68" t="s">
        <v>75</v>
      </c>
      <c r="R68" t="s">
        <v>74</v>
      </c>
      <c r="S68" t="s">
        <v>75</v>
      </c>
      <c r="T68" t="s">
        <v>74</v>
      </c>
      <c r="U68" t="s">
        <v>75</v>
      </c>
      <c r="V68" s="13">
        <v>0.45</v>
      </c>
    </row>
    <row r="69" spans="1:22" x14ac:dyDescent="0.25">
      <c r="A69" s="12">
        <v>44757</v>
      </c>
      <c r="B69">
        <v>415</v>
      </c>
      <c r="C69" t="s">
        <v>142</v>
      </c>
      <c r="D69" t="s">
        <v>40</v>
      </c>
      <c r="E69" t="s">
        <v>71</v>
      </c>
      <c r="F69" s="13">
        <v>0.52708333333333335</v>
      </c>
      <c r="G69">
        <v>10.7</v>
      </c>
      <c r="H69">
        <v>31.7</v>
      </c>
      <c r="I69">
        <v>55</v>
      </c>
      <c r="J69">
        <v>13.865600000000001</v>
      </c>
      <c r="K69">
        <v>160</v>
      </c>
      <c r="L69">
        <v>34.088700000000003</v>
      </c>
      <c r="M69">
        <v>55.231099999999998</v>
      </c>
      <c r="N69">
        <v>160.56809999999999</v>
      </c>
      <c r="O69" t="s">
        <v>72</v>
      </c>
      <c r="P69" t="s">
        <v>73</v>
      </c>
      <c r="Q69" t="s">
        <v>74</v>
      </c>
      <c r="R69" t="s">
        <v>75</v>
      </c>
      <c r="S69" t="s">
        <v>74</v>
      </c>
      <c r="T69" t="s">
        <v>74</v>
      </c>
      <c r="U69" t="s">
        <v>75</v>
      </c>
      <c r="V69" s="13">
        <v>0.45</v>
      </c>
    </row>
    <row r="70" spans="1:22" x14ac:dyDescent="0.25">
      <c r="A70" s="12">
        <v>44761</v>
      </c>
      <c r="B70">
        <v>416</v>
      </c>
      <c r="C70" t="s">
        <v>143</v>
      </c>
      <c r="D70" t="s">
        <v>43</v>
      </c>
      <c r="E70" t="s">
        <v>71</v>
      </c>
      <c r="F70" s="13">
        <v>0.51597222222222228</v>
      </c>
      <c r="G70">
        <v>11.1</v>
      </c>
      <c r="H70">
        <v>31.9</v>
      </c>
      <c r="I70">
        <v>55</v>
      </c>
      <c r="J70">
        <v>19.202999999999999</v>
      </c>
      <c r="K70">
        <v>160</v>
      </c>
      <c r="L70">
        <v>31.441500000000001</v>
      </c>
      <c r="M70">
        <v>55.320099999999996</v>
      </c>
      <c r="N70">
        <v>160.524</v>
      </c>
      <c r="O70" t="s">
        <v>72</v>
      </c>
      <c r="P70" t="s">
        <v>73</v>
      </c>
      <c r="Q70" t="s">
        <v>75</v>
      </c>
      <c r="R70" t="s">
        <v>74</v>
      </c>
      <c r="S70" t="s">
        <v>75</v>
      </c>
      <c r="T70" t="s">
        <v>75</v>
      </c>
      <c r="U70" t="s">
        <v>74</v>
      </c>
      <c r="V70" s="13">
        <v>0.56458333333333333</v>
      </c>
    </row>
    <row r="71" spans="1:22" x14ac:dyDescent="0.25">
      <c r="A71" s="12">
        <v>44761</v>
      </c>
      <c r="B71">
        <v>417</v>
      </c>
      <c r="C71" t="s">
        <v>144</v>
      </c>
      <c r="D71" t="s">
        <v>43</v>
      </c>
      <c r="E71" t="s">
        <v>71</v>
      </c>
      <c r="F71" s="13">
        <v>0.54861111111111116</v>
      </c>
      <c r="G71">
        <v>11.5</v>
      </c>
      <c r="H71">
        <v>32.1</v>
      </c>
      <c r="I71">
        <v>55</v>
      </c>
      <c r="J71">
        <v>19.221399999999999</v>
      </c>
      <c r="K71">
        <v>160</v>
      </c>
      <c r="L71">
        <v>31.204899999999999</v>
      </c>
      <c r="M71">
        <v>55.320399999999999</v>
      </c>
      <c r="N71">
        <v>160.52010000000001</v>
      </c>
      <c r="O71" t="s">
        <v>72</v>
      </c>
      <c r="P71" t="s">
        <v>73</v>
      </c>
      <c r="Q71" t="s">
        <v>75</v>
      </c>
      <c r="R71" t="s">
        <v>75</v>
      </c>
      <c r="S71" t="s">
        <v>75</v>
      </c>
      <c r="T71" t="s">
        <v>74</v>
      </c>
      <c r="U71" t="s">
        <v>75</v>
      </c>
      <c r="V71" s="13">
        <v>0.56458333333333333</v>
      </c>
    </row>
    <row r="72" spans="1:22" x14ac:dyDescent="0.25">
      <c r="A72" s="12">
        <v>44767</v>
      </c>
      <c r="B72">
        <v>418</v>
      </c>
      <c r="C72" t="s">
        <v>69</v>
      </c>
      <c r="D72" t="s">
        <v>70</v>
      </c>
      <c r="E72" t="s">
        <v>71</v>
      </c>
      <c r="F72" s="13">
        <v>0.2902777777777778</v>
      </c>
      <c r="G72">
        <v>12.2</v>
      </c>
      <c r="H72">
        <v>31.9</v>
      </c>
      <c r="I72">
        <v>56</v>
      </c>
      <c r="J72">
        <v>52.680599999999998</v>
      </c>
      <c r="K72">
        <v>154</v>
      </c>
      <c r="L72">
        <v>15.5528</v>
      </c>
      <c r="M72">
        <v>56.878</v>
      </c>
      <c r="N72">
        <v>154.25919999999999</v>
      </c>
      <c r="O72" t="s">
        <v>72</v>
      </c>
      <c r="P72" t="s">
        <v>73</v>
      </c>
      <c r="Q72" t="s">
        <v>74</v>
      </c>
      <c r="R72" t="s">
        <v>75</v>
      </c>
      <c r="S72" t="s">
        <v>74</v>
      </c>
      <c r="T72" t="s">
        <v>75</v>
      </c>
      <c r="U72" t="s">
        <v>75</v>
      </c>
      <c r="V72" s="13">
        <v>0.30833333333333335</v>
      </c>
    </row>
    <row r="73" spans="1:22" x14ac:dyDescent="0.25">
      <c r="A73" s="12">
        <v>44767</v>
      </c>
      <c r="B73">
        <v>419</v>
      </c>
      <c r="C73" t="s">
        <v>77</v>
      </c>
      <c r="D73" t="s">
        <v>70</v>
      </c>
      <c r="E73" t="s">
        <v>71</v>
      </c>
      <c r="F73" s="13">
        <v>0.31527777777777777</v>
      </c>
      <c r="G73">
        <v>12.1</v>
      </c>
      <c r="H73">
        <v>32</v>
      </c>
      <c r="I73">
        <v>56</v>
      </c>
      <c r="J73">
        <v>52.132399999999997</v>
      </c>
      <c r="K73">
        <v>154</v>
      </c>
      <c r="L73">
        <v>15.260199999999999</v>
      </c>
      <c r="M73">
        <v>56.868899999999996</v>
      </c>
      <c r="N73">
        <v>154.2543</v>
      </c>
      <c r="O73" t="s">
        <v>72</v>
      </c>
      <c r="P73" t="s">
        <v>73</v>
      </c>
      <c r="Q73" t="s">
        <v>74</v>
      </c>
      <c r="R73" t="s">
        <v>75</v>
      </c>
      <c r="S73" t="s">
        <v>74</v>
      </c>
      <c r="T73" t="s">
        <v>75</v>
      </c>
      <c r="U73" t="s">
        <v>75</v>
      </c>
      <c r="V73" s="13">
        <v>0.30833333333333335</v>
      </c>
    </row>
    <row r="74" spans="1:22" x14ac:dyDescent="0.25">
      <c r="A74" s="12">
        <v>44767</v>
      </c>
      <c r="B74">
        <v>420</v>
      </c>
      <c r="C74" t="s">
        <v>76</v>
      </c>
      <c r="D74" t="s">
        <v>70</v>
      </c>
      <c r="E74" t="s">
        <v>71</v>
      </c>
      <c r="F74" s="13">
        <v>0.34166666666666667</v>
      </c>
      <c r="G74">
        <v>12.3</v>
      </c>
      <c r="H74">
        <v>32.1</v>
      </c>
      <c r="I74">
        <v>56</v>
      </c>
      <c r="J74">
        <v>52.700099999999999</v>
      </c>
      <c r="K74">
        <v>154</v>
      </c>
      <c r="L74">
        <v>14.7067</v>
      </c>
      <c r="M74">
        <v>56.878300000000003</v>
      </c>
      <c r="N74">
        <v>154.24510000000001</v>
      </c>
      <c r="O74" t="s">
        <v>72</v>
      </c>
      <c r="P74" t="s">
        <v>73</v>
      </c>
      <c r="Q74" t="s">
        <v>75</v>
      </c>
      <c r="R74" t="s">
        <v>75</v>
      </c>
      <c r="S74" t="s">
        <v>75</v>
      </c>
      <c r="T74" t="s">
        <v>74</v>
      </c>
      <c r="U74" t="s">
        <v>75</v>
      </c>
      <c r="V74" s="13">
        <v>0.30833333333333335</v>
      </c>
    </row>
    <row r="75" spans="1:22" x14ac:dyDescent="0.25">
      <c r="A75" s="12">
        <v>44767</v>
      </c>
      <c r="B75">
        <v>421</v>
      </c>
      <c r="C75" t="s">
        <v>80</v>
      </c>
      <c r="D75" t="s">
        <v>70</v>
      </c>
      <c r="E75" t="s">
        <v>71</v>
      </c>
      <c r="F75" s="13">
        <v>0.37430555555555556</v>
      </c>
      <c r="G75">
        <v>12.2</v>
      </c>
      <c r="H75">
        <v>31.1</v>
      </c>
      <c r="I75">
        <v>56</v>
      </c>
      <c r="J75">
        <v>54.049199999999999</v>
      </c>
      <c r="K75">
        <v>154</v>
      </c>
      <c r="L75">
        <v>15.1471</v>
      </c>
      <c r="M75">
        <v>56.900799999999997</v>
      </c>
      <c r="N75">
        <v>154.2525</v>
      </c>
      <c r="O75" t="s">
        <v>72</v>
      </c>
      <c r="P75" t="s">
        <v>73</v>
      </c>
      <c r="Q75" t="s">
        <v>75</v>
      </c>
      <c r="R75" t="s">
        <v>75</v>
      </c>
      <c r="S75" t="s">
        <v>75</v>
      </c>
      <c r="T75" t="s">
        <v>75</v>
      </c>
      <c r="U75" t="s">
        <v>75</v>
      </c>
      <c r="V75" s="13">
        <v>0.30833333333333335</v>
      </c>
    </row>
    <row r="76" spans="1:22" x14ac:dyDescent="0.25">
      <c r="A76" s="12">
        <v>44770</v>
      </c>
      <c r="B76">
        <v>422</v>
      </c>
      <c r="C76" t="s">
        <v>145</v>
      </c>
      <c r="D76" t="s">
        <v>41</v>
      </c>
      <c r="E76" t="s">
        <v>71</v>
      </c>
      <c r="F76" s="13">
        <v>0.31111111111111112</v>
      </c>
      <c r="G76">
        <v>12.3</v>
      </c>
      <c r="H76">
        <v>30.6</v>
      </c>
      <c r="I76">
        <v>56</v>
      </c>
      <c r="J76">
        <v>57.192999999999998</v>
      </c>
      <c r="K76">
        <v>153</v>
      </c>
      <c r="L76">
        <v>41.118899999999996</v>
      </c>
      <c r="M76">
        <v>56.953200000000002</v>
      </c>
      <c r="N76">
        <v>153.68530000000001</v>
      </c>
      <c r="O76" t="s">
        <v>71</v>
      </c>
      <c r="P76" t="s">
        <v>146</v>
      </c>
      <c r="Q76" t="s">
        <v>74</v>
      </c>
      <c r="R76" t="s">
        <v>75</v>
      </c>
      <c r="S76" t="s">
        <v>75</v>
      </c>
      <c r="T76" t="s">
        <v>74</v>
      </c>
      <c r="U76" t="s">
        <v>75</v>
      </c>
      <c r="V76" s="13">
        <v>0.36805555555555558</v>
      </c>
    </row>
    <row r="77" spans="1:22" x14ac:dyDescent="0.25">
      <c r="A77" s="12">
        <v>44770</v>
      </c>
      <c r="B77">
        <v>423</v>
      </c>
      <c r="C77" t="s">
        <v>147</v>
      </c>
      <c r="D77" t="s">
        <v>41</v>
      </c>
      <c r="E77" t="s">
        <v>71</v>
      </c>
      <c r="F77" s="13">
        <v>0.33194444444444443</v>
      </c>
      <c r="G77">
        <v>12.4</v>
      </c>
      <c r="H77">
        <v>31.1</v>
      </c>
      <c r="I77">
        <v>56</v>
      </c>
      <c r="J77">
        <v>57.195</v>
      </c>
      <c r="K77">
        <v>153</v>
      </c>
      <c r="L77">
        <v>40.743499999999997</v>
      </c>
      <c r="M77">
        <v>56.953299999999999</v>
      </c>
      <c r="N77">
        <v>153.67910000000001</v>
      </c>
      <c r="O77" t="s">
        <v>72</v>
      </c>
      <c r="P77" t="s">
        <v>73</v>
      </c>
      <c r="Q77" t="s">
        <v>75</v>
      </c>
      <c r="R77" t="s">
        <v>75</v>
      </c>
      <c r="S77" t="s">
        <v>75</v>
      </c>
      <c r="T77" t="s">
        <v>74</v>
      </c>
      <c r="U77" t="s">
        <v>75</v>
      </c>
      <c r="V77" s="13">
        <v>0.36805555555555558</v>
      </c>
    </row>
    <row r="78" spans="1:22" x14ac:dyDescent="0.25">
      <c r="A78" s="12">
        <v>44770</v>
      </c>
      <c r="B78">
        <v>424</v>
      </c>
      <c r="C78" t="s">
        <v>148</v>
      </c>
      <c r="D78" t="s">
        <v>41</v>
      </c>
      <c r="E78" t="s">
        <v>71</v>
      </c>
      <c r="F78" s="13">
        <v>0.36180555555555555</v>
      </c>
      <c r="G78">
        <v>11.9</v>
      </c>
      <c r="H78">
        <v>31.2</v>
      </c>
      <c r="I78">
        <v>56</v>
      </c>
      <c r="J78">
        <v>56.900500000000001</v>
      </c>
      <c r="K78">
        <v>153</v>
      </c>
      <c r="L78">
        <v>40.9283</v>
      </c>
      <c r="M78">
        <v>56.948300000000003</v>
      </c>
      <c r="N78">
        <v>153.68209999999999</v>
      </c>
      <c r="O78" t="s">
        <v>72</v>
      </c>
      <c r="P78" t="s">
        <v>73</v>
      </c>
      <c r="Q78" t="s">
        <v>75</v>
      </c>
      <c r="R78" t="s">
        <v>75</v>
      </c>
      <c r="S78" t="s">
        <v>75</v>
      </c>
      <c r="T78" t="s">
        <v>75</v>
      </c>
      <c r="U78" t="s">
        <v>75</v>
      </c>
      <c r="V78" s="13">
        <v>0.36805555555555558</v>
      </c>
    </row>
    <row r="79" spans="1:22" x14ac:dyDescent="0.25">
      <c r="A79" s="12">
        <v>44770</v>
      </c>
      <c r="B79">
        <v>425</v>
      </c>
      <c r="C79" t="s">
        <v>149</v>
      </c>
      <c r="D79" t="s">
        <v>41</v>
      </c>
      <c r="E79" t="s">
        <v>71</v>
      </c>
      <c r="F79" s="13">
        <v>0.38263888888888886</v>
      </c>
      <c r="G79">
        <v>11.6</v>
      </c>
      <c r="H79">
        <v>32</v>
      </c>
      <c r="I79">
        <v>56</v>
      </c>
      <c r="J79">
        <v>56.757100000000001</v>
      </c>
      <c r="K79">
        <v>153</v>
      </c>
      <c r="L79">
        <v>41.0426</v>
      </c>
      <c r="M79">
        <v>56.945999999999998</v>
      </c>
      <c r="N79">
        <v>153.684</v>
      </c>
      <c r="O79" t="s">
        <v>72</v>
      </c>
      <c r="P79" t="s">
        <v>73</v>
      </c>
      <c r="Q79" t="s">
        <v>74</v>
      </c>
      <c r="R79" t="s">
        <v>75</v>
      </c>
      <c r="S79" t="s">
        <v>75</v>
      </c>
      <c r="T79" t="s">
        <v>74</v>
      </c>
      <c r="U79" t="s">
        <v>75</v>
      </c>
      <c r="V79" s="13">
        <v>0.36805555555555558</v>
      </c>
    </row>
    <row r="80" spans="1:22" x14ac:dyDescent="0.25">
      <c r="A80" s="12">
        <v>44770</v>
      </c>
      <c r="B80">
        <v>426</v>
      </c>
      <c r="C80" t="s">
        <v>150</v>
      </c>
      <c r="D80" t="s">
        <v>41</v>
      </c>
      <c r="E80" t="s">
        <v>71</v>
      </c>
      <c r="F80" s="13">
        <v>0.40763888888888888</v>
      </c>
      <c r="G80">
        <v>12.4</v>
      </c>
      <c r="H80">
        <v>32.4</v>
      </c>
      <c r="I80">
        <v>56</v>
      </c>
      <c r="J80">
        <v>57.06</v>
      </c>
      <c r="K80">
        <v>153</v>
      </c>
      <c r="L80">
        <v>41.107500000000002</v>
      </c>
      <c r="M80">
        <v>56.951000000000001</v>
      </c>
      <c r="N80">
        <v>153.68510000000001</v>
      </c>
      <c r="O80" t="s">
        <v>72</v>
      </c>
      <c r="P80" t="s">
        <v>73</v>
      </c>
      <c r="Q80" t="s">
        <v>74</v>
      </c>
      <c r="R80" t="s">
        <v>75</v>
      </c>
      <c r="S80" t="s">
        <v>75</v>
      </c>
      <c r="T80" t="s">
        <v>75</v>
      </c>
      <c r="U80" t="s">
        <v>74</v>
      </c>
      <c r="V80" s="13">
        <v>0.36805555555555558</v>
      </c>
    </row>
    <row r="81" spans="1:22" x14ac:dyDescent="0.25">
      <c r="A81" s="12">
        <v>44770</v>
      </c>
      <c r="B81">
        <v>427</v>
      </c>
      <c r="C81" t="s">
        <v>151</v>
      </c>
      <c r="D81" t="s">
        <v>41</v>
      </c>
      <c r="E81" t="s">
        <v>71</v>
      </c>
      <c r="F81" s="13">
        <v>0.42777777777777776</v>
      </c>
      <c r="G81">
        <v>13.6</v>
      </c>
      <c r="H81">
        <v>30.2</v>
      </c>
      <c r="I81">
        <v>56</v>
      </c>
      <c r="J81">
        <v>58.068399999999997</v>
      </c>
      <c r="K81">
        <v>153</v>
      </c>
      <c r="L81">
        <v>40.934699999999999</v>
      </c>
      <c r="M81">
        <v>56.967799999999997</v>
      </c>
      <c r="N81">
        <v>153.68219999999999</v>
      </c>
      <c r="O81" t="s">
        <v>72</v>
      </c>
      <c r="P81" t="s">
        <v>73</v>
      </c>
      <c r="Q81" t="s">
        <v>75</v>
      </c>
      <c r="R81" t="s">
        <v>75</v>
      </c>
      <c r="S81" t="s">
        <v>75</v>
      </c>
      <c r="T81" t="s">
        <v>74</v>
      </c>
      <c r="U81" t="s">
        <v>75</v>
      </c>
      <c r="V81" s="13">
        <v>0.36805555555555558</v>
      </c>
    </row>
    <row r="82" spans="1:22" x14ac:dyDescent="0.25">
      <c r="A82" s="12">
        <v>44770</v>
      </c>
      <c r="B82">
        <v>428</v>
      </c>
      <c r="C82" t="s">
        <v>152</v>
      </c>
      <c r="D82" t="s">
        <v>41</v>
      </c>
      <c r="E82" t="s">
        <v>71</v>
      </c>
      <c r="F82" s="13">
        <v>0.45416666666666666</v>
      </c>
      <c r="G82">
        <v>13.5</v>
      </c>
      <c r="H82">
        <v>30.7</v>
      </c>
      <c r="I82">
        <v>56</v>
      </c>
      <c r="J82">
        <v>57.548400000000001</v>
      </c>
      <c r="K82">
        <v>153</v>
      </c>
      <c r="L82">
        <v>41.364600000000003</v>
      </c>
      <c r="M82">
        <v>56.959099999999999</v>
      </c>
      <c r="N82">
        <v>153.68940000000001</v>
      </c>
      <c r="O82" t="s">
        <v>72</v>
      </c>
      <c r="P82" t="s">
        <v>153</v>
      </c>
      <c r="Q82" t="s">
        <v>74</v>
      </c>
      <c r="R82" t="s">
        <v>75</v>
      </c>
      <c r="S82" t="s">
        <v>75</v>
      </c>
      <c r="T82" t="s">
        <v>74</v>
      </c>
      <c r="U82" t="s">
        <v>74</v>
      </c>
      <c r="V82" s="13">
        <v>0.36805555555555558</v>
      </c>
    </row>
    <row r="83" spans="1:22" x14ac:dyDescent="0.25">
      <c r="A83" s="12">
        <v>44770</v>
      </c>
      <c r="B83">
        <v>429</v>
      </c>
      <c r="C83" t="s">
        <v>145</v>
      </c>
      <c r="D83" t="s">
        <v>41</v>
      </c>
      <c r="E83" t="s">
        <v>71</v>
      </c>
      <c r="F83" s="13">
        <v>0.47013888888888888</v>
      </c>
      <c r="G83">
        <v>12.3</v>
      </c>
      <c r="H83">
        <v>30.6</v>
      </c>
      <c r="I83">
        <v>56</v>
      </c>
      <c r="J83">
        <v>57.185600000000001</v>
      </c>
      <c r="K83">
        <v>153</v>
      </c>
      <c r="L83">
        <v>41.100999999999999</v>
      </c>
      <c r="M83">
        <v>56.953099999999999</v>
      </c>
      <c r="N83">
        <v>153.685</v>
      </c>
      <c r="O83" t="s">
        <v>72</v>
      </c>
      <c r="P83" t="s">
        <v>73</v>
      </c>
      <c r="Q83" t="s">
        <v>74</v>
      </c>
      <c r="R83" t="s">
        <v>75</v>
      </c>
      <c r="S83" t="s">
        <v>75</v>
      </c>
      <c r="T83" t="s">
        <v>74</v>
      </c>
      <c r="U83" t="s">
        <v>75</v>
      </c>
      <c r="V83" s="13">
        <v>0.36805555555555558</v>
      </c>
    </row>
    <row r="84" spans="1:22" x14ac:dyDescent="0.25">
      <c r="A84" s="12">
        <v>44771</v>
      </c>
      <c r="B84">
        <v>430</v>
      </c>
      <c r="C84" t="s">
        <v>154</v>
      </c>
      <c r="D84" t="s">
        <v>42</v>
      </c>
      <c r="E84" t="s">
        <v>71</v>
      </c>
      <c r="F84" s="13">
        <v>0.30555555555555558</v>
      </c>
      <c r="G84">
        <v>13.1</v>
      </c>
      <c r="H84">
        <v>31.6</v>
      </c>
      <c r="I84">
        <v>57</v>
      </c>
      <c r="J84">
        <v>3.2155999999999998</v>
      </c>
      <c r="K84">
        <v>153</v>
      </c>
      <c r="L84">
        <v>39.176699999999997</v>
      </c>
      <c r="M84">
        <v>57.053600000000003</v>
      </c>
      <c r="N84">
        <v>153.65289999999999</v>
      </c>
      <c r="O84" t="s">
        <v>72</v>
      </c>
      <c r="P84" t="s">
        <v>73</v>
      </c>
      <c r="Q84" t="s">
        <v>74</v>
      </c>
      <c r="R84" t="s">
        <v>75</v>
      </c>
      <c r="S84" t="s">
        <v>74</v>
      </c>
      <c r="T84" t="s">
        <v>74</v>
      </c>
      <c r="U84" t="s">
        <v>75</v>
      </c>
      <c r="V84" s="13">
        <v>0.3888888888888889</v>
      </c>
    </row>
    <row r="85" spans="1:22" x14ac:dyDescent="0.25">
      <c r="A85" s="12">
        <v>44771</v>
      </c>
      <c r="B85">
        <v>431</v>
      </c>
      <c r="C85" t="s">
        <v>155</v>
      </c>
      <c r="D85" t="s">
        <v>42</v>
      </c>
      <c r="E85" t="s">
        <v>71</v>
      </c>
      <c r="F85" s="13">
        <v>0.34722222222222221</v>
      </c>
      <c r="G85">
        <v>13</v>
      </c>
      <c r="H85">
        <v>32</v>
      </c>
      <c r="I85">
        <v>57</v>
      </c>
      <c r="J85">
        <v>3.3492999999999999</v>
      </c>
      <c r="K85">
        <v>153</v>
      </c>
      <c r="L85">
        <v>39.029200000000003</v>
      </c>
      <c r="M85">
        <v>57.055799999999998</v>
      </c>
      <c r="N85">
        <v>153.65049999999999</v>
      </c>
      <c r="O85" t="s">
        <v>72</v>
      </c>
      <c r="P85" t="s">
        <v>73</v>
      </c>
      <c r="Q85" t="s">
        <v>74</v>
      </c>
      <c r="R85" t="s">
        <v>75</v>
      </c>
      <c r="S85" t="s">
        <v>75</v>
      </c>
      <c r="T85" t="s">
        <v>75</v>
      </c>
      <c r="U85" t="s">
        <v>74</v>
      </c>
      <c r="V85" s="13">
        <v>0.3888888888888889</v>
      </c>
    </row>
    <row r="86" spans="1:22" x14ac:dyDescent="0.25">
      <c r="A86" s="12">
        <v>44771</v>
      </c>
      <c r="B86">
        <v>432</v>
      </c>
      <c r="C86" t="s">
        <v>156</v>
      </c>
      <c r="D86" t="s">
        <v>42</v>
      </c>
      <c r="E86" t="s">
        <v>71</v>
      </c>
      <c r="F86" s="13">
        <v>0.38333333333333336</v>
      </c>
      <c r="G86">
        <v>11.9</v>
      </c>
      <c r="H86">
        <v>30.6</v>
      </c>
      <c r="I86">
        <v>57</v>
      </c>
      <c r="J86">
        <v>3.4312999999999998</v>
      </c>
      <c r="K86">
        <v>153</v>
      </c>
      <c r="L86">
        <v>38.087600000000002</v>
      </c>
      <c r="M86">
        <v>57.057200000000002</v>
      </c>
      <c r="N86">
        <v>153.63480000000001</v>
      </c>
      <c r="O86" t="s">
        <v>72</v>
      </c>
      <c r="P86" t="s">
        <v>73</v>
      </c>
      <c r="Q86" t="s">
        <v>74</v>
      </c>
      <c r="R86" t="s">
        <v>75</v>
      </c>
      <c r="S86" t="s">
        <v>74</v>
      </c>
      <c r="T86" t="s">
        <v>74</v>
      </c>
      <c r="U86" t="s">
        <v>75</v>
      </c>
      <c r="V86" s="13">
        <v>0.3888888888888889</v>
      </c>
    </row>
    <row r="87" spans="1:22" x14ac:dyDescent="0.25">
      <c r="A87" s="12">
        <v>44771</v>
      </c>
      <c r="B87">
        <v>433</v>
      </c>
      <c r="C87" t="s">
        <v>157</v>
      </c>
      <c r="D87" t="s">
        <v>42</v>
      </c>
      <c r="E87" t="s">
        <v>71</v>
      </c>
      <c r="F87" s="13">
        <v>0.40763888888888888</v>
      </c>
      <c r="G87">
        <v>12.8</v>
      </c>
      <c r="H87">
        <v>31.7</v>
      </c>
      <c r="I87">
        <v>57</v>
      </c>
      <c r="J87">
        <v>4.2474999999999996</v>
      </c>
      <c r="K87">
        <v>153</v>
      </c>
      <c r="L87">
        <v>40.479500000000002</v>
      </c>
      <c r="M87">
        <v>57.070799999999998</v>
      </c>
      <c r="N87">
        <v>153.6747</v>
      </c>
      <c r="O87" t="s">
        <v>72</v>
      </c>
      <c r="P87" t="s">
        <v>73</v>
      </c>
      <c r="Q87" t="s">
        <v>75</v>
      </c>
      <c r="R87" t="s">
        <v>75</v>
      </c>
      <c r="S87" t="s">
        <v>74</v>
      </c>
      <c r="T87" t="s">
        <v>75</v>
      </c>
      <c r="U87" t="s">
        <v>74</v>
      </c>
      <c r="V87" s="13">
        <v>0.3888888888888889</v>
      </c>
    </row>
    <row r="88" spans="1:22" x14ac:dyDescent="0.25">
      <c r="A88" s="12">
        <v>44771</v>
      </c>
      <c r="B88">
        <v>434</v>
      </c>
      <c r="C88" t="s">
        <v>158</v>
      </c>
      <c r="D88" t="s">
        <v>42</v>
      </c>
      <c r="E88" t="s">
        <v>71</v>
      </c>
      <c r="F88" s="13">
        <v>0.43402777777777779</v>
      </c>
      <c r="G88">
        <v>13</v>
      </c>
      <c r="H88">
        <v>31</v>
      </c>
      <c r="I88">
        <v>57</v>
      </c>
      <c r="J88">
        <v>3.6427</v>
      </c>
      <c r="K88">
        <v>153</v>
      </c>
      <c r="L88">
        <v>47.3367</v>
      </c>
      <c r="M88">
        <v>57.060699999999997</v>
      </c>
      <c r="N88">
        <v>153.78890000000001</v>
      </c>
      <c r="O88" t="s">
        <v>72</v>
      </c>
      <c r="P88" t="s">
        <v>73</v>
      </c>
      <c r="Q88" t="s">
        <v>75</v>
      </c>
      <c r="R88" t="s">
        <v>75</v>
      </c>
      <c r="S88" t="s">
        <v>75</v>
      </c>
      <c r="T88" t="s">
        <v>74</v>
      </c>
      <c r="U88" t="s">
        <v>75</v>
      </c>
      <c r="V88" s="13">
        <v>0.3888888888888889</v>
      </c>
    </row>
    <row r="89" spans="1:22" x14ac:dyDescent="0.25">
      <c r="A89" s="12">
        <v>44771</v>
      </c>
      <c r="B89">
        <v>435</v>
      </c>
      <c r="C89" t="s">
        <v>159</v>
      </c>
      <c r="D89" t="s">
        <v>42</v>
      </c>
      <c r="E89" t="s">
        <v>71</v>
      </c>
      <c r="F89" s="13">
        <v>0.46458333333333335</v>
      </c>
      <c r="G89">
        <v>13.5</v>
      </c>
      <c r="H89">
        <v>30.4</v>
      </c>
      <c r="I89">
        <v>57</v>
      </c>
      <c r="J89">
        <v>3.4354</v>
      </c>
      <c r="K89">
        <v>153</v>
      </c>
      <c r="L89">
        <v>42.197600000000001</v>
      </c>
      <c r="M89">
        <v>57.057299999999998</v>
      </c>
      <c r="N89">
        <v>153.70330000000001</v>
      </c>
      <c r="O89" t="s">
        <v>72</v>
      </c>
      <c r="P89" t="s">
        <v>73</v>
      </c>
      <c r="Q89" t="s">
        <v>75</v>
      </c>
      <c r="R89" t="s">
        <v>75</v>
      </c>
      <c r="S89" t="s">
        <v>74</v>
      </c>
      <c r="T89" t="s">
        <v>75</v>
      </c>
      <c r="U89" t="s">
        <v>75</v>
      </c>
      <c r="V89" s="13">
        <v>0.3888888888888889</v>
      </c>
    </row>
    <row r="90" spans="1:22" x14ac:dyDescent="0.25">
      <c r="A90" s="12">
        <v>44777</v>
      </c>
      <c r="B90">
        <v>436</v>
      </c>
      <c r="C90" t="s">
        <v>99</v>
      </c>
      <c r="D90" t="s">
        <v>33</v>
      </c>
      <c r="E90" t="s">
        <v>71</v>
      </c>
      <c r="F90" s="13">
        <v>0.45416666666666666</v>
      </c>
      <c r="G90">
        <v>12.5</v>
      </c>
      <c r="H90">
        <v>32.6</v>
      </c>
      <c r="I90">
        <v>57</v>
      </c>
      <c r="J90">
        <v>19.2834</v>
      </c>
      <c r="K90">
        <v>152</v>
      </c>
      <c r="L90">
        <v>54.102600000000002</v>
      </c>
      <c r="M90">
        <v>57.321399999999997</v>
      </c>
      <c r="N90">
        <v>152.90170000000001</v>
      </c>
      <c r="O90" t="s">
        <v>72</v>
      </c>
      <c r="P90" t="s">
        <v>73</v>
      </c>
      <c r="Q90" t="s">
        <v>75</v>
      </c>
      <c r="R90" t="s">
        <v>75</v>
      </c>
      <c r="S90" t="s">
        <v>74</v>
      </c>
      <c r="T90" t="s">
        <v>74</v>
      </c>
      <c r="U90" t="s">
        <v>75</v>
      </c>
      <c r="V90" s="13">
        <v>0.52500000000000002</v>
      </c>
    </row>
    <row r="91" spans="1:22" x14ac:dyDescent="0.25">
      <c r="A91" s="12">
        <v>44777</v>
      </c>
      <c r="B91">
        <v>437</v>
      </c>
      <c r="C91" t="s">
        <v>98</v>
      </c>
      <c r="D91" t="s">
        <v>33</v>
      </c>
      <c r="E91" t="s">
        <v>71</v>
      </c>
      <c r="F91" s="13">
        <v>0.49513888888888891</v>
      </c>
      <c r="G91">
        <v>12.6</v>
      </c>
      <c r="H91">
        <v>32.5</v>
      </c>
      <c r="I91">
        <v>57</v>
      </c>
      <c r="J91">
        <v>19.4026</v>
      </c>
      <c r="K91">
        <v>152</v>
      </c>
      <c r="L91">
        <v>53.965600000000002</v>
      </c>
      <c r="M91">
        <v>57.323399999999999</v>
      </c>
      <c r="N91">
        <v>152.89940000000001</v>
      </c>
      <c r="O91" t="s">
        <v>72</v>
      </c>
      <c r="P91" t="s">
        <v>73</v>
      </c>
      <c r="Q91" t="s">
        <v>74</v>
      </c>
      <c r="R91" t="s">
        <v>75</v>
      </c>
      <c r="S91" t="s">
        <v>75</v>
      </c>
      <c r="T91" t="s">
        <v>74</v>
      </c>
      <c r="U91" t="s">
        <v>75</v>
      </c>
      <c r="V91" s="13">
        <v>0.52500000000000002</v>
      </c>
    </row>
    <row r="92" spans="1:22" x14ac:dyDescent="0.25">
      <c r="A92" s="12">
        <v>44777</v>
      </c>
      <c r="B92">
        <v>438</v>
      </c>
      <c r="C92" t="s">
        <v>96</v>
      </c>
      <c r="D92" t="s">
        <v>33</v>
      </c>
      <c r="E92" t="s">
        <v>71</v>
      </c>
      <c r="F92" s="13">
        <v>0.52847222222222223</v>
      </c>
      <c r="G92">
        <v>12.6</v>
      </c>
      <c r="H92">
        <v>32.6</v>
      </c>
      <c r="I92">
        <v>57</v>
      </c>
      <c r="J92">
        <v>19.511299999999999</v>
      </c>
      <c r="K92">
        <v>152</v>
      </c>
      <c r="L92">
        <v>54.343400000000003</v>
      </c>
      <c r="M92">
        <v>57.325200000000002</v>
      </c>
      <c r="N92">
        <v>152.9057</v>
      </c>
      <c r="O92" t="s">
        <v>72</v>
      </c>
      <c r="P92" t="s">
        <v>73</v>
      </c>
      <c r="Q92" t="s">
        <v>75</v>
      </c>
      <c r="R92" t="s">
        <v>75</v>
      </c>
      <c r="S92" t="s">
        <v>75</v>
      </c>
      <c r="T92" t="s">
        <v>74</v>
      </c>
      <c r="U92" t="s">
        <v>75</v>
      </c>
      <c r="V92" s="13">
        <v>0.52500000000000002</v>
      </c>
    </row>
    <row r="93" spans="1:22" x14ac:dyDescent="0.25">
      <c r="A93" s="12">
        <v>44777</v>
      </c>
      <c r="B93">
        <v>439</v>
      </c>
      <c r="C93" t="s">
        <v>95</v>
      </c>
      <c r="D93" t="s">
        <v>33</v>
      </c>
      <c r="E93" t="s">
        <v>71</v>
      </c>
      <c r="F93" s="13">
        <v>0.55902777777777779</v>
      </c>
      <c r="G93">
        <v>13</v>
      </c>
      <c r="H93">
        <v>32.4</v>
      </c>
      <c r="I93">
        <v>57</v>
      </c>
      <c r="J93">
        <v>19.647400000000001</v>
      </c>
      <c r="K93">
        <v>152</v>
      </c>
      <c r="L93">
        <v>53.864400000000003</v>
      </c>
      <c r="M93">
        <v>57.327500000000001</v>
      </c>
      <c r="N93">
        <v>152.89769999999999</v>
      </c>
      <c r="O93" t="s">
        <v>72</v>
      </c>
      <c r="P93" t="s">
        <v>73</v>
      </c>
      <c r="Q93" t="s">
        <v>75</v>
      </c>
      <c r="R93" t="s">
        <v>75</v>
      </c>
      <c r="S93" t="s">
        <v>75</v>
      </c>
      <c r="T93" t="s">
        <v>74</v>
      </c>
      <c r="U93" t="s">
        <v>75</v>
      </c>
      <c r="V93" s="13">
        <v>0.52500000000000002</v>
      </c>
    </row>
    <row r="94" spans="1:22" x14ac:dyDescent="0.25">
      <c r="A94" s="12">
        <v>44777</v>
      </c>
      <c r="B94">
        <v>440</v>
      </c>
      <c r="C94" t="s">
        <v>94</v>
      </c>
      <c r="D94" t="s">
        <v>33</v>
      </c>
      <c r="E94" t="s">
        <v>71</v>
      </c>
      <c r="F94" s="13">
        <v>0.59583333333333333</v>
      </c>
      <c r="G94">
        <v>12.6</v>
      </c>
      <c r="H94">
        <v>32.5</v>
      </c>
      <c r="I94">
        <v>57</v>
      </c>
      <c r="J94">
        <v>19.3415</v>
      </c>
      <c r="K94">
        <v>152</v>
      </c>
      <c r="L94">
        <v>54.628700000000002</v>
      </c>
      <c r="M94">
        <v>57.322400000000002</v>
      </c>
      <c r="N94">
        <v>152.91050000000001</v>
      </c>
      <c r="O94" t="s">
        <v>72</v>
      </c>
      <c r="P94" t="s">
        <v>73</v>
      </c>
      <c r="Q94" t="s">
        <v>74</v>
      </c>
      <c r="R94" t="s">
        <v>75</v>
      </c>
      <c r="S94" t="s">
        <v>74</v>
      </c>
      <c r="T94" t="s">
        <v>75</v>
      </c>
      <c r="U94" t="s">
        <v>75</v>
      </c>
      <c r="V94" s="13">
        <v>0.52500000000000002</v>
      </c>
    </row>
    <row r="95" spans="1:22" x14ac:dyDescent="0.25">
      <c r="A95" s="12">
        <v>44777</v>
      </c>
      <c r="B95">
        <v>441</v>
      </c>
      <c r="C95" t="s">
        <v>93</v>
      </c>
      <c r="D95" t="s">
        <v>33</v>
      </c>
      <c r="E95" t="s">
        <v>71</v>
      </c>
      <c r="F95" s="13">
        <v>0.60833333333333328</v>
      </c>
      <c r="G95">
        <v>12.4</v>
      </c>
      <c r="H95">
        <v>32.6</v>
      </c>
      <c r="I95">
        <v>57</v>
      </c>
      <c r="J95">
        <v>19.332599999999999</v>
      </c>
      <c r="K95">
        <v>152</v>
      </c>
      <c r="L95">
        <v>54.798000000000002</v>
      </c>
      <c r="M95">
        <v>57.322200000000002</v>
      </c>
      <c r="N95">
        <v>152.91329999999999</v>
      </c>
      <c r="O95" t="s">
        <v>72</v>
      </c>
      <c r="P95" t="s">
        <v>73</v>
      </c>
      <c r="Q95" t="s">
        <v>75</v>
      </c>
      <c r="R95" t="s">
        <v>75</v>
      </c>
      <c r="S95" t="s">
        <v>74</v>
      </c>
      <c r="T95" t="s">
        <v>75</v>
      </c>
      <c r="U95" t="s">
        <v>75</v>
      </c>
      <c r="V95" s="13">
        <v>0.52500000000000002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8151-841F-4986-B952-71CFE5006C46}">
  <dimension ref="A1:K35"/>
  <sheetViews>
    <sheetView tabSelected="1" workbookViewId="0">
      <selection activeCell="C20" sqref="C20"/>
    </sheetView>
  </sheetViews>
  <sheetFormatPr defaultRowHeight="15" x14ac:dyDescent="0.25"/>
  <cols>
    <col min="1" max="3" width="24.42578125" customWidth="1"/>
    <col min="4" max="4" width="8.28515625" customWidth="1"/>
  </cols>
  <sheetData>
    <row r="1" spans="1:11" x14ac:dyDescent="0.25">
      <c r="A1" s="2" t="s">
        <v>47</v>
      </c>
      <c r="B1" s="2" t="s">
        <v>48</v>
      </c>
      <c r="C1" s="2" t="s">
        <v>49</v>
      </c>
      <c r="D1" s="1" t="s">
        <v>0</v>
      </c>
      <c r="E1" s="5" t="s">
        <v>46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6" t="s">
        <v>29</v>
      </c>
    </row>
    <row r="2" spans="1:11" x14ac:dyDescent="0.25">
      <c r="A2" s="3" t="s">
        <v>30</v>
      </c>
      <c r="B2" s="14">
        <v>57.861533333333334</v>
      </c>
      <c r="C2" s="14">
        <v>152.6404</v>
      </c>
      <c r="D2" s="3">
        <v>2022</v>
      </c>
      <c r="E2" s="10">
        <v>0</v>
      </c>
      <c r="F2" s="10">
        <v>0</v>
      </c>
      <c r="G2" s="10">
        <v>0</v>
      </c>
      <c r="H2" s="10">
        <v>0</v>
      </c>
      <c r="I2" s="10">
        <v>29</v>
      </c>
      <c r="J2" s="10">
        <f>78-I2</f>
        <v>49</v>
      </c>
      <c r="K2" s="10">
        <v>0</v>
      </c>
    </row>
    <row r="3" spans="1:11" x14ac:dyDescent="0.25">
      <c r="A3" s="3" t="s">
        <v>31</v>
      </c>
      <c r="B3" s="14">
        <v>57.781500000000001</v>
      </c>
      <c r="C3" s="14">
        <v>152.2482</v>
      </c>
      <c r="D3" s="3">
        <v>2022</v>
      </c>
      <c r="E3" s="10">
        <v>0</v>
      </c>
      <c r="F3" s="10">
        <v>0</v>
      </c>
      <c r="G3" s="10">
        <v>0</v>
      </c>
      <c r="H3" s="10">
        <v>0</v>
      </c>
      <c r="I3" s="10">
        <v>2</v>
      </c>
      <c r="J3" s="10">
        <v>6</v>
      </c>
      <c r="K3" s="10">
        <v>0</v>
      </c>
    </row>
    <row r="4" spans="1:11" x14ac:dyDescent="0.25">
      <c r="A4" s="3" t="s">
        <v>32</v>
      </c>
      <c r="B4" s="14">
        <v>57.704300000000003</v>
      </c>
      <c r="C4" s="14">
        <v>153.91030000000001</v>
      </c>
      <c r="D4" s="3">
        <v>2022</v>
      </c>
      <c r="E4" s="10">
        <v>0</v>
      </c>
      <c r="F4" s="10">
        <v>1</v>
      </c>
      <c r="G4" s="10">
        <v>1</v>
      </c>
      <c r="H4" s="10">
        <v>0</v>
      </c>
      <c r="I4" s="10">
        <v>1</v>
      </c>
      <c r="J4" s="10">
        <v>2</v>
      </c>
      <c r="K4" s="10">
        <v>0</v>
      </c>
    </row>
    <row r="5" spans="1:11" x14ac:dyDescent="0.25">
      <c r="A5" s="4" t="s">
        <v>33</v>
      </c>
      <c r="B5" s="14">
        <v>57.322200000000002</v>
      </c>
      <c r="C5" s="14">
        <v>152.91329999999999</v>
      </c>
      <c r="D5" s="3">
        <v>2022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1</v>
      </c>
      <c r="K5" s="10">
        <v>0</v>
      </c>
    </row>
    <row r="6" spans="1:11" x14ac:dyDescent="0.25">
      <c r="A6" s="4" t="s">
        <v>41</v>
      </c>
      <c r="B6" s="14">
        <v>56.953099999999999</v>
      </c>
      <c r="C6" s="14">
        <v>153.685</v>
      </c>
      <c r="D6" s="3">
        <v>2022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</row>
    <row r="7" spans="1:11" x14ac:dyDescent="0.25">
      <c r="A7" s="4" t="s">
        <v>42</v>
      </c>
      <c r="B7" s="14">
        <v>57.053600000000003</v>
      </c>
      <c r="C7" s="14">
        <v>153.65289999999999</v>
      </c>
      <c r="D7" s="3">
        <v>2022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</row>
    <row r="8" spans="1:11" x14ac:dyDescent="0.25">
      <c r="A8" s="3" t="s">
        <v>34</v>
      </c>
      <c r="B8" s="14">
        <v>56.878700000000002</v>
      </c>
      <c r="C8" s="14">
        <v>154.24629999999999</v>
      </c>
      <c r="D8" s="3">
        <v>2022</v>
      </c>
      <c r="E8" s="10">
        <v>0</v>
      </c>
      <c r="F8" s="10">
        <v>0</v>
      </c>
      <c r="G8" s="10">
        <v>0</v>
      </c>
      <c r="H8" s="10">
        <v>0</v>
      </c>
      <c r="I8" s="10">
        <v>1</v>
      </c>
      <c r="J8" s="10">
        <v>2</v>
      </c>
      <c r="K8" s="10">
        <v>0</v>
      </c>
    </row>
    <row r="9" spans="1:11" x14ac:dyDescent="0.25">
      <c r="A9" s="3" t="s">
        <v>35</v>
      </c>
      <c r="B9" s="14">
        <v>57.113199999999999</v>
      </c>
      <c r="C9" s="14">
        <v>156.4796</v>
      </c>
      <c r="D9" s="3">
        <v>2022</v>
      </c>
      <c r="E9" s="10">
        <v>0</v>
      </c>
      <c r="F9" s="10">
        <v>28</v>
      </c>
      <c r="G9" s="10">
        <v>7</v>
      </c>
      <c r="H9" s="10">
        <v>14</v>
      </c>
      <c r="I9" s="10">
        <v>21</v>
      </c>
      <c r="J9" s="10">
        <v>96</v>
      </c>
      <c r="K9" s="10">
        <v>0</v>
      </c>
    </row>
    <row r="10" spans="1:11" x14ac:dyDescent="0.25">
      <c r="A10" s="3" t="s">
        <v>36</v>
      </c>
      <c r="B10" s="14">
        <v>57.049199999999999</v>
      </c>
      <c r="C10" s="14">
        <v>156.61160000000001</v>
      </c>
      <c r="D10" s="3">
        <v>2022</v>
      </c>
      <c r="E10" s="10">
        <v>2</v>
      </c>
      <c r="F10" s="10">
        <v>0</v>
      </c>
      <c r="G10" s="10">
        <v>0</v>
      </c>
      <c r="H10" s="10">
        <v>0</v>
      </c>
      <c r="I10" s="10">
        <v>0</v>
      </c>
      <c r="J10" s="10">
        <v>8</v>
      </c>
      <c r="K10" s="10">
        <v>0</v>
      </c>
    </row>
    <row r="11" spans="1:11" x14ac:dyDescent="0.25">
      <c r="A11" s="3" t="s">
        <v>37</v>
      </c>
      <c r="B11" s="14">
        <v>55.981900000000003</v>
      </c>
      <c r="C11" s="14">
        <v>158.69649999999999</v>
      </c>
      <c r="D11" s="3">
        <v>2022</v>
      </c>
      <c r="E11" s="10">
        <v>2</v>
      </c>
      <c r="F11" s="10">
        <v>0</v>
      </c>
      <c r="G11" s="10">
        <v>0</v>
      </c>
      <c r="H11" s="10">
        <v>2</v>
      </c>
      <c r="I11" s="10">
        <v>4</v>
      </c>
      <c r="J11" s="10">
        <v>12</v>
      </c>
      <c r="K11" s="10">
        <v>0</v>
      </c>
    </row>
    <row r="12" spans="1:11" x14ac:dyDescent="0.25">
      <c r="A12" s="3" t="s">
        <v>38</v>
      </c>
      <c r="B12" s="14">
        <v>55.616300000000003</v>
      </c>
      <c r="C12" s="14">
        <v>159.65309999999999</v>
      </c>
      <c r="D12" s="3">
        <v>2022</v>
      </c>
      <c r="E12" s="10">
        <v>0</v>
      </c>
      <c r="F12" s="10">
        <v>15</v>
      </c>
      <c r="G12" s="10">
        <v>0</v>
      </c>
      <c r="H12" s="10">
        <v>10</v>
      </c>
      <c r="I12" s="10">
        <v>15</v>
      </c>
      <c r="J12" s="10">
        <v>70</v>
      </c>
      <c r="K12" s="10">
        <v>0</v>
      </c>
    </row>
    <row r="13" spans="1:11" x14ac:dyDescent="0.25">
      <c r="A13" s="3" t="s">
        <v>39</v>
      </c>
      <c r="B13" s="14">
        <v>55.577500000000001</v>
      </c>
      <c r="C13" s="14">
        <v>160.59809999999999</v>
      </c>
      <c r="D13" s="3">
        <v>2022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3</v>
      </c>
      <c r="K13" s="10">
        <v>0</v>
      </c>
    </row>
    <row r="14" spans="1:11" x14ac:dyDescent="0.25">
      <c r="A14" s="3" t="s">
        <v>40</v>
      </c>
      <c r="B14" s="14">
        <v>55.231099999999998</v>
      </c>
      <c r="C14" s="14">
        <v>160.56809999999999</v>
      </c>
      <c r="D14" s="3">
        <v>2022</v>
      </c>
      <c r="E14" s="10">
        <v>1</v>
      </c>
      <c r="F14" s="10">
        <v>0</v>
      </c>
      <c r="G14" s="10">
        <v>1</v>
      </c>
      <c r="H14" s="10">
        <v>0</v>
      </c>
      <c r="I14" s="10">
        <v>1</v>
      </c>
      <c r="J14" s="10">
        <v>5</v>
      </c>
      <c r="K14" s="10">
        <v>0</v>
      </c>
    </row>
    <row r="15" spans="1:11" x14ac:dyDescent="0.25">
      <c r="A15" s="3" t="s">
        <v>43</v>
      </c>
      <c r="B15" s="14">
        <v>55.320099999999996</v>
      </c>
      <c r="C15" s="14">
        <v>160.524</v>
      </c>
      <c r="D15" s="3">
        <v>2022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</row>
    <row r="16" spans="1:11" x14ac:dyDescent="0.25">
      <c r="A16" s="3" t="s">
        <v>44</v>
      </c>
      <c r="B16" s="14">
        <v>55.063899999999997</v>
      </c>
      <c r="C16" s="14">
        <v>160.11770000000001</v>
      </c>
      <c r="D16" s="3">
        <v>2022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</row>
    <row r="17" spans="1:11" x14ac:dyDescent="0.25">
      <c r="A17" s="3" t="s">
        <v>30</v>
      </c>
      <c r="B17" s="14">
        <v>57.861533333333334</v>
      </c>
      <c r="C17" s="14">
        <v>152.6404</v>
      </c>
      <c r="D17" s="3">
        <v>2023</v>
      </c>
      <c r="E17" s="11">
        <v>0</v>
      </c>
      <c r="F17" s="11">
        <v>0</v>
      </c>
      <c r="G17" s="11">
        <v>0</v>
      </c>
      <c r="H17" s="11">
        <v>0</v>
      </c>
      <c r="I17" s="11">
        <v>51</v>
      </c>
      <c r="J17" s="11">
        <v>146</v>
      </c>
      <c r="K17" s="11">
        <v>0</v>
      </c>
    </row>
    <row r="18" spans="1:11" x14ac:dyDescent="0.25">
      <c r="A18" s="3" t="s">
        <v>31</v>
      </c>
      <c r="B18" s="14">
        <v>57.781500000000001</v>
      </c>
      <c r="C18" s="14">
        <v>152.2482</v>
      </c>
      <c r="D18" s="3">
        <v>2023</v>
      </c>
      <c r="E18" s="11">
        <v>0</v>
      </c>
      <c r="F18" s="11">
        <v>0</v>
      </c>
      <c r="G18" s="11">
        <v>0</v>
      </c>
      <c r="H18" s="11">
        <v>0</v>
      </c>
      <c r="I18" s="11">
        <v>3</v>
      </c>
      <c r="J18" s="11">
        <v>18</v>
      </c>
      <c r="K18" s="11">
        <v>0</v>
      </c>
    </row>
    <row r="19" spans="1:11" x14ac:dyDescent="0.25">
      <c r="A19" s="3" t="s">
        <v>32</v>
      </c>
      <c r="B19" s="14">
        <v>57.704300000000003</v>
      </c>
      <c r="C19" s="14">
        <v>153.91030000000001</v>
      </c>
      <c r="D19" s="3">
        <v>2023</v>
      </c>
      <c r="E19" s="11" t="s">
        <v>45</v>
      </c>
      <c r="F19" s="11" t="s">
        <v>45</v>
      </c>
      <c r="G19" s="11" t="s">
        <v>45</v>
      </c>
      <c r="H19" s="11" t="s">
        <v>45</v>
      </c>
      <c r="I19" s="11" t="s">
        <v>45</v>
      </c>
      <c r="J19" s="11" t="s">
        <v>45</v>
      </c>
      <c r="K19" s="11" t="s">
        <v>45</v>
      </c>
    </row>
    <row r="20" spans="1:11" x14ac:dyDescent="0.25">
      <c r="A20" s="4" t="s">
        <v>33</v>
      </c>
      <c r="B20" s="14">
        <v>57.322200000000002</v>
      </c>
      <c r="C20" s="14">
        <v>152.91329999999999</v>
      </c>
      <c r="D20" s="3">
        <v>2023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284</v>
      </c>
      <c r="K20" s="11">
        <v>15</v>
      </c>
    </row>
    <row r="21" spans="1:11" x14ac:dyDescent="0.25">
      <c r="A21" s="4" t="s">
        <v>41</v>
      </c>
      <c r="B21">
        <v>56.953099999999999</v>
      </c>
      <c r="C21">
        <v>153.685</v>
      </c>
      <c r="D21" s="3">
        <v>2023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</row>
    <row r="22" spans="1:11" x14ac:dyDescent="0.25">
      <c r="A22" s="4" t="s">
        <v>42</v>
      </c>
      <c r="B22">
        <v>57.053600000000003</v>
      </c>
      <c r="C22">
        <v>153.65289999999999</v>
      </c>
      <c r="D22" s="3">
        <v>2023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</row>
    <row r="23" spans="1:11" x14ac:dyDescent="0.25">
      <c r="A23" s="3" t="s">
        <v>34</v>
      </c>
      <c r="B23">
        <v>56.878700000000002</v>
      </c>
      <c r="C23">
        <v>154.24629999999999</v>
      </c>
      <c r="D23" s="3">
        <v>2023</v>
      </c>
      <c r="E23" s="11">
        <v>0</v>
      </c>
      <c r="F23" s="11">
        <v>0</v>
      </c>
      <c r="G23" s="11">
        <v>0</v>
      </c>
      <c r="H23" s="11">
        <v>0</v>
      </c>
      <c r="I23" s="11">
        <v>9</v>
      </c>
      <c r="J23" s="11">
        <v>163</v>
      </c>
      <c r="K23" s="11">
        <v>0</v>
      </c>
    </row>
    <row r="24" spans="1:11" x14ac:dyDescent="0.25">
      <c r="A24" s="3" t="s">
        <v>35</v>
      </c>
      <c r="B24">
        <v>57.113199999999999</v>
      </c>
      <c r="C24">
        <v>156.4796</v>
      </c>
      <c r="D24" s="3">
        <v>2023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</row>
    <row r="25" spans="1:11" x14ac:dyDescent="0.25">
      <c r="A25" s="3" t="s">
        <v>36</v>
      </c>
      <c r="B25">
        <v>57.049199999999999</v>
      </c>
      <c r="C25">
        <v>156.61160000000001</v>
      </c>
      <c r="D25" s="3">
        <v>2023</v>
      </c>
      <c r="E25" s="11">
        <v>0</v>
      </c>
      <c r="F25" s="11">
        <v>0</v>
      </c>
      <c r="G25" s="11">
        <v>0</v>
      </c>
      <c r="H25" s="11">
        <v>0</v>
      </c>
      <c r="I25" s="11">
        <v>1</v>
      </c>
      <c r="J25" s="11">
        <v>0</v>
      </c>
      <c r="K25" s="11">
        <v>0</v>
      </c>
    </row>
    <row r="26" spans="1:11" x14ac:dyDescent="0.25">
      <c r="A26" s="3" t="s">
        <v>37</v>
      </c>
      <c r="B26">
        <v>55.981900000000003</v>
      </c>
      <c r="C26">
        <v>158.69649999999999</v>
      </c>
      <c r="D26" s="3">
        <v>2023</v>
      </c>
      <c r="E26" s="11">
        <v>0</v>
      </c>
      <c r="F26" s="11">
        <v>0</v>
      </c>
      <c r="G26" s="11">
        <v>0</v>
      </c>
      <c r="H26" s="11">
        <v>0</v>
      </c>
      <c r="I26" s="11">
        <v>1</v>
      </c>
      <c r="J26" s="11">
        <v>4</v>
      </c>
      <c r="K26" s="11">
        <v>0</v>
      </c>
    </row>
    <row r="27" spans="1:11" x14ac:dyDescent="0.25">
      <c r="A27" s="3" t="s">
        <v>38</v>
      </c>
      <c r="B27">
        <v>55.616300000000003</v>
      </c>
      <c r="C27">
        <v>159.65309999999999</v>
      </c>
      <c r="D27" s="3">
        <v>2023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</row>
    <row r="28" spans="1:11" x14ac:dyDescent="0.25">
      <c r="A28" s="3" t="s">
        <v>39</v>
      </c>
      <c r="B28">
        <v>55.577500000000001</v>
      </c>
      <c r="C28">
        <v>160.59809999999999</v>
      </c>
      <c r="D28" s="3">
        <v>2023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4</v>
      </c>
      <c r="K28" s="11">
        <v>0</v>
      </c>
    </row>
    <row r="29" spans="1:11" x14ac:dyDescent="0.25">
      <c r="A29" s="3" t="s">
        <v>40</v>
      </c>
      <c r="B29">
        <v>55.231099999999998</v>
      </c>
      <c r="C29">
        <v>160.56809999999999</v>
      </c>
      <c r="D29" s="3">
        <v>2023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</row>
    <row r="30" spans="1:11" x14ac:dyDescent="0.25">
      <c r="A30" s="3" t="s">
        <v>43</v>
      </c>
      <c r="B30">
        <v>55.320099999999996</v>
      </c>
      <c r="C30">
        <v>160.524</v>
      </c>
      <c r="D30" s="3">
        <v>2023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</row>
    <row r="31" spans="1:11" x14ac:dyDescent="0.25">
      <c r="A31" s="3" t="s">
        <v>44</v>
      </c>
      <c r="B31">
        <v>55.063899999999997</v>
      </c>
      <c r="C31">
        <v>160.11770000000001</v>
      </c>
      <c r="D31" s="3">
        <v>2023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3</v>
      </c>
      <c r="K31" s="11">
        <v>0</v>
      </c>
    </row>
    <row r="32" spans="1:11" x14ac:dyDescent="0.25">
      <c r="D32" s="3"/>
    </row>
    <row r="33" spans="4:4" x14ac:dyDescent="0.25">
      <c r="D33" s="3"/>
    </row>
    <row r="34" spans="4:4" x14ac:dyDescent="0.25">
      <c r="D34" s="3"/>
    </row>
    <row r="35" spans="4:4" x14ac:dyDescent="0.25">
      <c r="D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BAD0-515B-47E2-84EE-81A197B50738}">
  <dimension ref="A1:Z40"/>
  <sheetViews>
    <sheetView topLeftCell="K1" zoomScale="90" zoomScaleNormal="90" workbookViewId="0">
      <selection activeCell="W13" sqref="W12:W13"/>
    </sheetView>
  </sheetViews>
  <sheetFormatPr defaultColWidth="11.140625" defaultRowHeight="15" x14ac:dyDescent="0.25"/>
  <cols>
    <col min="1" max="1" width="14.42578125" customWidth="1"/>
    <col min="2" max="2" width="11.42578125" customWidth="1"/>
    <col min="3" max="3" width="8.140625" style="5" customWidth="1"/>
  </cols>
  <sheetData>
    <row r="1" spans="1:26" s="4" customFormat="1" ht="61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O1" s="1" t="s">
        <v>0</v>
      </c>
      <c r="P1" s="2" t="s">
        <v>1</v>
      </c>
      <c r="Q1" s="3" t="s">
        <v>13</v>
      </c>
      <c r="R1" s="3" t="s">
        <v>14</v>
      </c>
      <c r="S1" s="4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4" t="s">
        <v>22</v>
      </c>
    </row>
    <row r="2" spans="1:26" x14ac:dyDescent="0.25">
      <c r="A2" s="5">
        <v>2022</v>
      </c>
      <c r="B2" s="5" t="s">
        <v>23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2</v>
      </c>
      <c r="J2" s="5">
        <v>2</v>
      </c>
      <c r="K2" s="5">
        <v>0</v>
      </c>
      <c r="L2" s="5">
        <v>0</v>
      </c>
      <c r="M2" s="5">
        <v>1</v>
      </c>
      <c r="O2" s="5">
        <v>2023</v>
      </c>
      <c r="P2" s="6" t="s">
        <v>23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</row>
    <row r="3" spans="1:26" x14ac:dyDescent="0.25">
      <c r="A3" s="5">
        <v>2022</v>
      </c>
      <c r="B3" s="5" t="s">
        <v>24</v>
      </c>
      <c r="C3" s="5">
        <v>0</v>
      </c>
      <c r="D3" s="5">
        <v>0</v>
      </c>
      <c r="E3" s="5">
        <v>1</v>
      </c>
      <c r="F3" s="5">
        <v>2</v>
      </c>
      <c r="G3" s="5">
        <v>0</v>
      </c>
      <c r="H3" s="5">
        <v>28</v>
      </c>
      <c r="I3" s="5">
        <v>0</v>
      </c>
      <c r="J3" s="5">
        <v>0</v>
      </c>
      <c r="K3" s="5">
        <v>15</v>
      </c>
      <c r="L3" s="5">
        <v>0</v>
      </c>
      <c r="M3" s="5">
        <v>0</v>
      </c>
      <c r="O3" s="5">
        <v>2023</v>
      </c>
      <c r="P3" s="6" t="s">
        <v>24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</row>
    <row r="4" spans="1:26" x14ac:dyDescent="0.25">
      <c r="A4" s="5">
        <v>2022</v>
      </c>
      <c r="B4" s="5" t="s">
        <v>25</v>
      </c>
      <c r="C4" s="5">
        <v>0</v>
      </c>
      <c r="D4" s="5">
        <v>0</v>
      </c>
      <c r="E4" s="5">
        <v>1</v>
      </c>
      <c r="F4" s="5">
        <v>0</v>
      </c>
      <c r="G4" s="5">
        <v>0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O4" s="5">
        <v>2023</v>
      </c>
      <c r="P4" s="6" t="s">
        <v>25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</row>
    <row r="5" spans="1:26" x14ac:dyDescent="0.25">
      <c r="A5" s="5">
        <v>2022</v>
      </c>
      <c r="B5" s="5" t="s">
        <v>26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14</v>
      </c>
      <c r="I5" s="5">
        <v>0</v>
      </c>
      <c r="J5" s="5">
        <v>2</v>
      </c>
      <c r="K5" s="5">
        <v>10</v>
      </c>
      <c r="L5" s="5">
        <v>0</v>
      </c>
      <c r="M5" s="5">
        <v>0</v>
      </c>
      <c r="O5" s="5">
        <v>2023</v>
      </c>
      <c r="P5" s="6" t="s">
        <v>26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</row>
    <row r="6" spans="1:26" x14ac:dyDescent="0.25">
      <c r="A6" s="5">
        <v>2022</v>
      </c>
      <c r="B6" s="5" t="s">
        <v>27</v>
      </c>
      <c r="C6" s="5">
        <v>29</v>
      </c>
      <c r="D6" s="5">
        <v>2</v>
      </c>
      <c r="E6" s="5">
        <v>1</v>
      </c>
      <c r="F6" s="5">
        <v>0</v>
      </c>
      <c r="G6" s="5">
        <v>1</v>
      </c>
      <c r="H6" s="5">
        <v>21</v>
      </c>
      <c r="I6" s="5">
        <v>0</v>
      </c>
      <c r="J6" s="5">
        <v>4</v>
      </c>
      <c r="K6" s="5">
        <v>15</v>
      </c>
      <c r="L6" s="5">
        <v>0</v>
      </c>
      <c r="M6" s="5">
        <v>1</v>
      </c>
      <c r="O6" s="5">
        <v>2023</v>
      </c>
      <c r="P6" s="6" t="s">
        <v>27</v>
      </c>
      <c r="Q6" s="6">
        <v>51</v>
      </c>
      <c r="R6" s="6">
        <v>3</v>
      </c>
      <c r="S6" s="6">
        <v>0</v>
      </c>
      <c r="T6" s="6">
        <v>9</v>
      </c>
      <c r="U6" s="6">
        <v>1</v>
      </c>
      <c r="V6" s="6">
        <v>1</v>
      </c>
      <c r="W6" s="6">
        <v>0</v>
      </c>
      <c r="X6" s="6">
        <v>0</v>
      </c>
      <c r="Y6" s="6">
        <v>0</v>
      </c>
      <c r="Z6" s="7">
        <v>0</v>
      </c>
    </row>
    <row r="7" spans="1:26" x14ac:dyDescent="0.25">
      <c r="A7" s="5">
        <v>2022</v>
      </c>
      <c r="B7" s="5" t="s">
        <v>28</v>
      </c>
      <c r="C7" s="5">
        <f>78-C6</f>
        <v>49</v>
      </c>
      <c r="D7" s="5">
        <v>6</v>
      </c>
      <c r="E7" s="5">
        <v>2</v>
      </c>
      <c r="F7" s="5">
        <v>1</v>
      </c>
      <c r="G7" s="5">
        <v>2</v>
      </c>
      <c r="H7" s="5">
        <v>96</v>
      </c>
      <c r="I7" s="5">
        <v>8</v>
      </c>
      <c r="J7" s="5">
        <v>12</v>
      </c>
      <c r="K7" s="5">
        <v>70</v>
      </c>
      <c r="L7" s="5">
        <v>3</v>
      </c>
      <c r="M7" s="5">
        <v>5</v>
      </c>
      <c r="O7" s="5">
        <v>2023</v>
      </c>
      <c r="P7" s="6" t="s">
        <v>28</v>
      </c>
      <c r="Q7" s="6">
        <v>146</v>
      </c>
      <c r="R7" s="6">
        <v>18</v>
      </c>
      <c r="S7" s="6">
        <v>284</v>
      </c>
      <c r="T7" s="6">
        <v>163</v>
      </c>
      <c r="U7" s="6">
        <v>0</v>
      </c>
      <c r="V7" s="6">
        <v>4</v>
      </c>
      <c r="W7" s="6">
        <v>1</v>
      </c>
      <c r="X7" s="6">
        <v>4</v>
      </c>
      <c r="Y7" s="6">
        <v>1</v>
      </c>
      <c r="Z7" s="8">
        <v>3</v>
      </c>
    </row>
    <row r="8" spans="1:26" x14ac:dyDescent="0.25">
      <c r="B8" s="5"/>
      <c r="I8" s="9"/>
      <c r="O8" s="5">
        <v>2023</v>
      </c>
      <c r="P8" s="6" t="s">
        <v>29</v>
      </c>
      <c r="Q8" s="7">
        <v>0</v>
      </c>
      <c r="R8" s="7">
        <v>0</v>
      </c>
      <c r="S8" s="6">
        <v>15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</row>
    <row r="9" spans="1:26" s="9" customFormat="1" x14ac:dyDescent="0.25">
      <c r="B9" s="5"/>
      <c r="D9"/>
      <c r="E9"/>
      <c r="F9"/>
      <c r="G9"/>
      <c r="Q9"/>
      <c r="R9" s="5"/>
      <c r="S9" s="5"/>
    </row>
    <row r="10" spans="1:26" s="9" customFormat="1" x14ac:dyDescent="0.25">
      <c r="A10" s="3"/>
      <c r="B10" s="5"/>
      <c r="D10"/>
      <c r="E10"/>
      <c r="F10"/>
      <c r="G10"/>
      <c r="I10"/>
      <c r="Q10" s="3"/>
      <c r="R10" s="5"/>
      <c r="S10" s="5"/>
    </row>
    <row r="11" spans="1:26" s="9" customFormat="1" x14ac:dyDescent="0.25">
      <c r="A11" s="3"/>
      <c r="B11" s="5"/>
      <c r="D11"/>
      <c r="E11"/>
      <c r="F11"/>
      <c r="G11"/>
      <c r="Q11" s="3"/>
      <c r="R11" s="5"/>
    </row>
    <row r="12" spans="1:26" s="9" customFormat="1" x14ac:dyDescent="0.25">
      <c r="A12" s="3"/>
      <c r="B12" s="5"/>
      <c r="D12"/>
      <c r="E12"/>
      <c r="F12"/>
      <c r="G12"/>
      <c r="Q12" s="3"/>
      <c r="R12" s="5"/>
      <c r="T12" s="5"/>
      <c r="U12" s="5"/>
      <c r="V12" s="5"/>
    </row>
    <row r="13" spans="1:26" s="9" customFormat="1" x14ac:dyDescent="0.25">
      <c r="A13" s="3"/>
      <c r="B13" s="5"/>
      <c r="D13"/>
      <c r="E13"/>
      <c r="F13"/>
      <c r="G13"/>
      <c r="Q13" s="3"/>
      <c r="R13" s="5"/>
      <c r="T13" s="5"/>
      <c r="U13" s="5"/>
      <c r="V13" s="5"/>
      <c r="W13" s="5"/>
      <c r="Y13"/>
    </row>
    <row r="14" spans="1:26" s="9" customFormat="1" x14ac:dyDescent="0.25">
      <c r="A14" s="3"/>
      <c r="B14" s="5"/>
      <c r="E14"/>
      <c r="F14"/>
      <c r="G14"/>
      <c r="Q14" s="3"/>
      <c r="R14"/>
      <c r="S14" s="5"/>
      <c r="T14" s="5"/>
      <c r="U14" s="5"/>
      <c r="V14" s="5"/>
      <c r="W14" s="5"/>
      <c r="Y14"/>
    </row>
    <row r="15" spans="1:26" s="9" customFormat="1" x14ac:dyDescent="0.25">
      <c r="A15" s="3"/>
      <c r="B15" s="5"/>
      <c r="E15"/>
      <c r="F15"/>
      <c r="G15"/>
      <c r="Q15" s="3"/>
      <c r="R15" s="5"/>
      <c r="T15" s="5"/>
      <c r="U15" s="5"/>
      <c r="V15" s="5"/>
      <c r="Y15"/>
    </row>
    <row r="16" spans="1:26" s="9" customFormat="1" x14ac:dyDescent="0.25">
      <c r="A16" s="3"/>
      <c r="B16" s="5"/>
      <c r="D16"/>
      <c r="E16"/>
      <c r="F16"/>
      <c r="G16"/>
      <c r="Q16" s="3"/>
      <c r="R16"/>
      <c r="S16" s="5"/>
      <c r="T16"/>
      <c r="U16"/>
      <c r="X16"/>
      <c r="Y16"/>
    </row>
    <row r="17" spans="1:25" s="9" customFormat="1" x14ac:dyDescent="0.25">
      <c r="B17" s="5"/>
      <c r="E17"/>
      <c r="F17"/>
      <c r="G17"/>
      <c r="R17"/>
      <c r="S17" s="5"/>
      <c r="T17"/>
      <c r="U17"/>
      <c r="V17"/>
      <c r="W17"/>
      <c r="X17"/>
      <c r="Y17"/>
    </row>
    <row r="18" spans="1:25" x14ac:dyDescent="0.25">
      <c r="A18" s="3"/>
      <c r="B18" s="5"/>
      <c r="D18" s="9"/>
      <c r="H18" s="9"/>
      <c r="I18" s="9"/>
      <c r="Q18" s="9"/>
      <c r="S18" s="5"/>
      <c r="T18" s="9"/>
      <c r="U18" s="9"/>
      <c r="V18" s="9"/>
      <c r="W18" s="9"/>
      <c r="X18" s="9"/>
      <c r="Y18" s="9"/>
    </row>
    <row r="19" spans="1:25" s="9" customFormat="1" x14ac:dyDescent="0.25">
      <c r="B19" s="5"/>
      <c r="D19"/>
      <c r="E19"/>
      <c r="F19"/>
      <c r="G19"/>
      <c r="I19"/>
      <c r="Q19" s="3"/>
      <c r="R19"/>
      <c r="S19" s="5"/>
    </row>
    <row r="20" spans="1:25" s="9" customFormat="1" x14ac:dyDescent="0.25">
      <c r="B20" s="5"/>
      <c r="E20"/>
      <c r="F20"/>
      <c r="G20"/>
      <c r="Q20"/>
      <c r="R20"/>
      <c r="S20" s="5"/>
    </row>
    <row r="21" spans="1:25" s="9" customFormat="1" x14ac:dyDescent="0.25">
      <c r="A21"/>
      <c r="B21" s="5"/>
      <c r="D21"/>
      <c r="E21"/>
      <c r="F21"/>
      <c r="G21"/>
      <c r="Q21"/>
      <c r="R21"/>
      <c r="S21" s="5"/>
      <c r="T21"/>
      <c r="U21"/>
      <c r="V21"/>
      <c r="W21"/>
      <c r="X21"/>
      <c r="Y21"/>
    </row>
    <row r="22" spans="1:25" s="9" customFormat="1" x14ac:dyDescent="0.25">
      <c r="A22" s="3"/>
      <c r="B22" s="5"/>
      <c r="E22"/>
      <c r="F22"/>
      <c r="G22"/>
      <c r="Q22"/>
      <c r="R22"/>
      <c r="S22" s="5"/>
    </row>
    <row r="23" spans="1:25" x14ac:dyDescent="0.25">
      <c r="B23" s="5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25">
      <c r="A24" s="3"/>
      <c r="B24" s="5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D25" s="9"/>
      <c r="Q25" s="9"/>
      <c r="R25" s="9"/>
      <c r="S25" s="9"/>
      <c r="T25" s="9"/>
      <c r="U25" s="9"/>
      <c r="V25" s="9"/>
      <c r="W25" s="9"/>
      <c r="X25" s="9"/>
      <c r="Y25" s="9"/>
    </row>
    <row r="27" spans="1:25" x14ac:dyDescent="0.25">
      <c r="Q27" s="9"/>
      <c r="R27" s="9"/>
      <c r="S27" s="9"/>
      <c r="T27" s="9"/>
      <c r="U27" s="9"/>
      <c r="V27" s="9"/>
      <c r="W27" s="9"/>
      <c r="X27" s="9"/>
      <c r="Y27" s="9"/>
    </row>
    <row r="28" spans="1:25" s="9" customFormat="1" x14ac:dyDescent="0.25">
      <c r="D28"/>
      <c r="E28"/>
      <c r="F28"/>
      <c r="G28"/>
      <c r="Q28"/>
      <c r="R28"/>
      <c r="S28"/>
      <c r="T28"/>
      <c r="U28"/>
      <c r="V28"/>
      <c r="W28"/>
      <c r="X28"/>
      <c r="Y28"/>
    </row>
    <row r="29" spans="1:25" s="9" customFormat="1" x14ac:dyDescent="0.25">
      <c r="D29"/>
      <c r="Q29"/>
      <c r="R29"/>
      <c r="S29"/>
      <c r="T29"/>
      <c r="U29"/>
      <c r="V29"/>
      <c r="W29"/>
      <c r="X29"/>
      <c r="Y29"/>
    </row>
    <row r="30" spans="1:25" s="9" customFormat="1" x14ac:dyDescent="0.25">
      <c r="D30"/>
    </row>
    <row r="32" spans="1:25" s="9" customFormat="1" x14ac:dyDescent="0.25">
      <c r="D32"/>
      <c r="E32"/>
      <c r="F32"/>
      <c r="G32"/>
      <c r="Q32"/>
      <c r="R32"/>
      <c r="S32"/>
      <c r="T32"/>
      <c r="U32"/>
      <c r="V32"/>
      <c r="W32"/>
      <c r="X32"/>
      <c r="Y32"/>
    </row>
    <row r="33" spans="4:25" s="9" customFormat="1" x14ac:dyDescent="0.25">
      <c r="D33"/>
      <c r="E33"/>
      <c r="F33"/>
      <c r="G33"/>
      <c r="Q33"/>
      <c r="R33"/>
      <c r="S33"/>
      <c r="T33"/>
      <c r="U33"/>
      <c r="V33"/>
      <c r="W33"/>
      <c r="X33"/>
      <c r="Y33"/>
    </row>
    <row r="34" spans="4:25" s="9" customFormat="1" x14ac:dyDescent="0.25">
      <c r="D34"/>
      <c r="E34"/>
      <c r="F34"/>
      <c r="G34"/>
      <c r="Q34"/>
      <c r="R34"/>
      <c r="S34"/>
      <c r="T34"/>
      <c r="U34"/>
      <c r="V34"/>
      <c r="W34"/>
      <c r="X34"/>
      <c r="Y34"/>
    </row>
    <row r="35" spans="4:25" s="9" customFormat="1" x14ac:dyDescent="0.25">
      <c r="D35"/>
      <c r="Q35"/>
      <c r="R35"/>
      <c r="S35"/>
      <c r="T35"/>
      <c r="U35"/>
      <c r="V35"/>
      <c r="W35"/>
      <c r="X35"/>
      <c r="Y35"/>
    </row>
    <row r="37" spans="4:25" s="9" customFormat="1" x14ac:dyDescent="0.25">
      <c r="D37"/>
      <c r="Q37"/>
      <c r="R37"/>
      <c r="S37"/>
      <c r="T37"/>
      <c r="U37"/>
      <c r="V37"/>
      <c r="W37"/>
      <c r="X37"/>
      <c r="Y37"/>
    </row>
    <row r="40" spans="4:25" s="9" customFormat="1" x14ac:dyDescent="0.25">
      <c r="D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allsite2022</vt:lpstr>
      <vt:lpstr>Kalin raw data</vt:lpstr>
      <vt:lpstr>R data bar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Abookire</dc:creator>
  <cp:lastModifiedBy>Alisa Abookire</cp:lastModifiedBy>
  <dcterms:created xsi:type="dcterms:W3CDTF">2026-01-24T21:58:18Z</dcterms:created>
  <dcterms:modified xsi:type="dcterms:W3CDTF">2026-01-24T22:28:23Z</dcterms:modified>
</cp:coreProperties>
</file>